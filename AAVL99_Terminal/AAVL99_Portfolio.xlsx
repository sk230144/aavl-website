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ctors" sheetId="2" state="visible" r:id="rId4"/>
    <sheet name="Capital Scenarios" sheetId="3" state="visible" r:id="rId5"/>
    <sheet name="Portfol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Source sheet showed 9,115 Cr (too low). Corrected: ~1,353.2 Cr shares × price.</t>
        </r>
      </text>
    </comment>
  </commentList>
</comments>
</file>

<file path=xl/sharedStrings.xml><?xml version="1.0" encoding="utf-8"?>
<sst xmlns="http://schemas.openxmlformats.org/spreadsheetml/2006/main" count="373" uniqueCount="268">
  <si>
    <t xml:space="preserve">AAVL 99 Replica Portfolio – Summary</t>
  </si>
  <si>
    <t xml:space="preserve">Buy every stock in proportion to its market cap, at Friday 25-Sep-2026 prices (same prices as the AAVL 99 index base).</t>
  </si>
  <si>
    <t xml:space="preserve">Investment amount (change this)</t>
  </si>
  <si>
    <t xml:space="preserve">← Yellow cell: enter any amount, everything recalculates.</t>
  </si>
  <si>
    <t xml:space="preserve">Minimum amount to hold all 99 stocks</t>
  </si>
  <si>
    <t xml:space="preserve">Stock that sets this minimum</t>
  </si>
  <si>
    <t xml:space="preserve">Total invested</t>
  </si>
  <si>
    <t xml:space="preserve">Cash left over</t>
  </si>
  <si>
    <t xml:space="preserve">Stocks held (qty ≥ 1)</t>
  </si>
  <si>
    <t xml:space="preserve">Tracking difference = how far actual weights are from index weights (0% = perfect copy).</t>
  </si>
  <si>
    <t xml:space="preserve">Tracking difference vs index weights</t>
  </si>
  <si>
    <t xml:space="preserve">Portfolio beta (vs Nifty 50)</t>
  </si>
  <si>
    <t xml:space="preserve">Beta 1 = moves with Nifty 50. Above 1 = swings more, below 1 = swings less.</t>
  </si>
  <si>
    <t xml:space="preserve">Beta coverage (weight of stocks with beta)</t>
  </si>
  <si>
    <t xml:space="preserve">Notes</t>
  </si>
  <si>
    <t xml:space="preserve">• Prices are the base prices used by the AAVL 99 index (from your Portfolio Data sheet). A few may differ from the official 25-Sep NSE close.</t>
  </si>
  <si>
    <t xml:space="preserve">• Quantities are rounded down, so you never spend more than the investment amount; the rest stays as cash.</t>
  </si>
  <si>
    <t xml:space="preserve">• Technocraft sets the ₹3.80 Cr minimum because its sheet market cap (₹1,461 Cr) looks too low for its ₹3,295 price. If that figure is wrong, the minimum drops to about ₹1.93 Cr (VST Tillers).</t>
  </si>
  <si>
    <t xml:space="preserve">• Beta: 1 year of daily returns (25-Sep-2025 to 25-Sep-2026) vs Nifty 50. Recently listed stocks have fewer days; stocks with under 60 days are left blank.</t>
  </si>
  <si>
    <t xml:space="preserve">• Reliance market cap corrected to ~1,353.2 Cr shares × price (source sheet showed 9,115 Cr).</t>
  </si>
  <si>
    <t xml:space="preserve">Sector Allocation</t>
  </si>
  <si>
    <t xml:space="preserve">Sector</t>
  </si>
  <si>
    <t xml:space="preserve">No. of Stocks</t>
  </si>
  <si>
    <t xml:space="preserve">Index Weight</t>
  </si>
  <si>
    <t xml:space="preserve">Amount Invested (₹)</t>
  </si>
  <si>
    <t xml:space="preserve">Portfolio Weight</t>
  </si>
  <si>
    <t xml:space="preserve">Sector Beta</t>
  </si>
  <si>
    <t xml:space="preserve">Banking</t>
  </si>
  <si>
    <t xml:space="preserve">Oil, Gas &amp; Fuels</t>
  </si>
  <si>
    <t xml:space="preserve">IT</t>
  </si>
  <si>
    <t xml:space="preserve">Capital Goods &amp; Defence</t>
  </si>
  <si>
    <t xml:space="preserve">FMCG</t>
  </si>
  <si>
    <t xml:space="preserve">Pharma &amp; Healthcare</t>
  </si>
  <si>
    <t xml:space="preserve">Power</t>
  </si>
  <si>
    <t xml:space="preserve">Metals &amp; Mining</t>
  </si>
  <si>
    <t xml:space="preserve">Automobile</t>
  </si>
  <si>
    <t xml:space="preserve">Capital Markets</t>
  </si>
  <si>
    <t xml:space="preserve">Cement</t>
  </si>
  <si>
    <t xml:space="preserve">Ports &amp; Services</t>
  </si>
  <si>
    <t xml:space="preserve">Chemicals</t>
  </si>
  <si>
    <t xml:space="preserve">Financial Services</t>
  </si>
  <si>
    <t xml:space="preserve">Electronics Manufacturing</t>
  </si>
  <si>
    <t xml:space="preserve">Consumer Durables</t>
  </si>
  <si>
    <t xml:space="preserve">Diversified</t>
  </si>
  <si>
    <t xml:space="preserve">Telecom</t>
  </si>
  <si>
    <t xml:space="preserve">Retail</t>
  </si>
  <si>
    <t xml:space="preserve">Textiles</t>
  </si>
  <si>
    <t xml:space="preserve">TOTAL</t>
  </si>
  <si>
    <t xml:space="preserve">How much money do you need?</t>
  </si>
  <si>
    <t xml:space="preserve">Same method at different investment amounts. Fewer stocks are held at small amounts because 1 share of a high-price stock costs more than its share of the money.</t>
  </si>
  <si>
    <t xml:space="preserve">Investment (₹)</t>
  </si>
  <si>
    <t xml:space="preserve">Stocks Held</t>
  </si>
  <si>
    <t xml:space="preserve">Cash Left (₹)</t>
  </si>
  <si>
    <t xml:space="preserve">Tracking Difference</t>
  </si>
  <si>
    <t xml:space="preserve">Last row = minimum for all 99 stocks, rounded up to the next ₹1 lakh. Blue amounts can be changed.</t>
  </si>
  <si>
    <t xml:space="preserve">AAVL 99 Replica Portfolio – bought at 25-Sep-2026 prices</t>
  </si>
  <si>
    <t xml:space="preserve">Capital (₹)</t>
  </si>
  <si>
    <t xml:space="preserve">Quantity = ROUNDDOWN(Capital × Weight ÷ Price). Change capital on the Summary sheet. Beta columns fill in when you run the beta program.</t>
  </si>
  <si>
    <t xml:space="preserve">#</t>
  </si>
  <si>
    <t xml:space="preserve">Company</t>
  </si>
  <si>
    <t xml:space="preserve">NSE Symbol</t>
  </si>
  <si>
    <t xml:space="preserve">Price 25-Sep (₹)</t>
  </si>
  <si>
    <t xml:space="preserve">Market Cap (₹ Cr)</t>
  </si>
  <si>
    <t xml:space="preserve">Target Weight</t>
  </si>
  <si>
    <t xml:space="preserve">Target Amount (₹)</t>
  </si>
  <si>
    <t xml:space="preserve">Quantity to Buy</t>
  </si>
  <si>
    <t xml:space="preserve">Actual Weight</t>
  </si>
  <si>
    <t xml:space="preserve">Weight Difference</t>
  </si>
  <si>
    <t xml:space="preserve">Beta (1Y vs Nifty 50)</t>
  </si>
  <si>
    <t xml:space="preserve">Beta Days</t>
  </si>
  <si>
    <t xml:space="preserve">Weight × Beta</t>
  </si>
  <si>
    <t xml:space="preserve">Capital for 1 Share (₹)</t>
  </si>
  <si>
    <t xml:space="preserve">Reliance Industries Ltd</t>
  </si>
  <si>
    <t xml:space="preserve">RELIANCE</t>
  </si>
  <si>
    <t xml:space="preserve">HDFC Bank Ltd.</t>
  </si>
  <si>
    <t xml:space="preserve">HDFCBANK</t>
  </si>
  <si>
    <t xml:space="preserve">State Bank Of India</t>
  </si>
  <si>
    <t xml:space="preserve">SBIN</t>
  </si>
  <si>
    <t xml:space="preserve">ICICI Bank Ltd.</t>
  </si>
  <si>
    <t xml:space="preserve">ICICIBANK</t>
  </si>
  <si>
    <t xml:space="preserve">Tata Consultancy Services Ltd.</t>
  </si>
  <si>
    <t xml:space="preserve">TCS</t>
  </si>
  <si>
    <t xml:space="preserve">Larsen &amp; Toubro Limited</t>
  </si>
  <si>
    <t xml:space="preserve">LT</t>
  </si>
  <si>
    <t xml:space="preserve">Infosys Ltd</t>
  </si>
  <si>
    <t xml:space="preserve">INFY</t>
  </si>
  <si>
    <t xml:space="preserve">Hindustan Unilever Ltd.</t>
  </si>
  <si>
    <t xml:space="preserve">HINDUNILVR</t>
  </si>
  <si>
    <t xml:space="preserve">Sun Pharmaceutical Industries Ltd.</t>
  </si>
  <si>
    <t xml:space="preserve">SUNPHARMA</t>
  </si>
  <si>
    <t xml:space="preserve">Mahindra &amp; Mahindra Ltd.</t>
  </si>
  <si>
    <t xml:space="preserve">M&amp;M</t>
  </si>
  <si>
    <t xml:space="preserve">AXIS Bank Ltd.</t>
  </si>
  <si>
    <t xml:space="preserve">AXISBANK</t>
  </si>
  <si>
    <t xml:space="preserve">ITC Ltd</t>
  </si>
  <si>
    <t xml:space="preserve">ITC</t>
  </si>
  <si>
    <t xml:space="preserve">Adani Ports and Special Economic Zone Ltd</t>
  </si>
  <si>
    <t xml:space="preserve">ADANIPORTS</t>
  </si>
  <si>
    <t xml:space="preserve">UltraTech Cement Ltd</t>
  </si>
  <si>
    <t xml:space="preserve">ULTRACEMCO</t>
  </si>
  <si>
    <t xml:space="preserve">Adani Power Limited</t>
  </si>
  <si>
    <t xml:space="preserve">ADANIPOWER</t>
  </si>
  <si>
    <t xml:space="preserve">Hindustan Aeronautics Limited</t>
  </si>
  <si>
    <t xml:space="preserve">HAL</t>
  </si>
  <si>
    <t xml:space="preserve">Coal India Limited</t>
  </si>
  <si>
    <t xml:space="preserve">COALINDIA</t>
  </si>
  <si>
    <t xml:space="preserve">Nestle India Ltd.</t>
  </si>
  <si>
    <t xml:space="preserve">NESTLEIND</t>
  </si>
  <si>
    <t xml:space="preserve">Hindustan Zinc Ltd.</t>
  </si>
  <si>
    <t xml:space="preserve">HINDZINC</t>
  </si>
  <si>
    <t xml:space="preserve">TATA STEEL LIMITED</t>
  </si>
  <si>
    <t xml:space="preserve">TATASTEEL</t>
  </si>
  <si>
    <t xml:space="preserve">Hindalco Industries Ltd.</t>
  </si>
  <si>
    <t xml:space="preserve">HINDALCO</t>
  </si>
  <si>
    <t xml:space="preserve">Eicher Motors Ltd.</t>
  </si>
  <si>
    <t xml:space="preserve">EICHERMOT</t>
  </si>
  <si>
    <t xml:space="preserve">Adani Green Energy Limited</t>
  </si>
  <si>
    <t xml:space="preserve">ADANIGREEN</t>
  </si>
  <si>
    <t xml:space="preserve">Vedanta Aluminium Metal Limited</t>
  </si>
  <si>
    <t xml:space="preserve">VAML</t>
  </si>
  <si>
    <t xml:space="preserve">Divi's Laboratories Ltd.</t>
  </si>
  <si>
    <t xml:space="preserve">DIVISLAB</t>
  </si>
  <si>
    <t xml:space="preserve">Jio Financial Services Limited</t>
  </si>
  <si>
    <t xml:space="preserve">JIOFIN</t>
  </si>
  <si>
    <t xml:space="preserve">Tata Motors Limited</t>
  </si>
  <si>
    <t xml:space="preserve">TMCV</t>
  </si>
  <si>
    <t xml:space="preserve">ICICI Prudential Asset Management Company Limited</t>
  </si>
  <si>
    <t xml:space="preserve">ICICIAMC</t>
  </si>
  <si>
    <t xml:space="preserve">Pidilite Industries Ltd.</t>
  </si>
  <si>
    <t xml:space="preserve">PIDILITIND</t>
  </si>
  <si>
    <t xml:space="preserve">Tech Mahindra Limited</t>
  </si>
  <si>
    <t xml:space="preserve">TECHM</t>
  </si>
  <si>
    <t xml:space="preserve">Torrent Pharmaceuticals Ltd.</t>
  </si>
  <si>
    <t xml:space="preserve">TORNTPHARM</t>
  </si>
  <si>
    <t xml:space="preserve">Adani Energy Solutions Limited</t>
  </si>
  <si>
    <t xml:space="preserve">ADANIENSOL</t>
  </si>
  <si>
    <t xml:space="preserve">LTM</t>
  </si>
  <si>
    <t xml:space="preserve">Britannia Industries Ltd.</t>
  </si>
  <si>
    <t xml:space="preserve">BRITANNIA</t>
  </si>
  <si>
    <t xml:space="preserve">Cummins India Ltd.</t>
  </si>
  <si>
    <t xml:space="preserve">CUMMINSIND</t>
  </si>
  <si>
    <t xml:space="preserve">BSE Ltd.</t>
  </si>
  <si>
    <t xml:space="preserve">BSE</t>
  </si>
  <si>
    <t xml:space="preserve">Tata Power Co. Ltd</t>
  </si>
  <si>
    <t xml:space="preserve">TATAPOWER</t>
  </si>
  <si>
    <t xml:space="preserve">CG Power and Industrial Solutions Limited</t>
  </si>
  <si>
    <t xml:space="preserve">CGPOWER</t>
  </si>
  <si>
    <t xml:space="preserve">Ambuja Cements Ltd.</t>
  </si>
  <si>
    <t xml:space="preserve">AMBUJACEM</t>
  </si>
  <si>
    <t xml:space="preserve">Apollo Hospitals Enterprises Ltd.</t>
  </si>
  <si>
    <t xml:space="preserve">APOLLOHOSP</t>
  </si>
  <si>
    <t xml:space="preserve">Bharat Heavy Electricals Ltd.</t>
  </si>
  <si>
    <t xml:space="preserve">BHEL</t>
  </si>
  <si>
    <t xml:space="preserve">Cipla Ltd.</t>
  </si>
  <si>
    <t xml:space="preserve">CIPLA</t>
  </si>
  <si>
    <t xml:space="preserve">Dr. Reddy's Laboratories Ltd.</t>
  </si>
  <si>
    <t xml:space="preserve">DRREDDY</t>
  </si>
  <si>
    <t xml:space="preserve">Ashok Leyland Ltd.</t>
  </si>
  <si>
    <t xml:space="preserve">ASHOKLEY</t>
  </si>
  <si>
    <t xml:space="preserve">Marico Limited</t>
  </si>
  <si>
    <t xml:space="preserve">MARICO</t>
  </si>
  <si>
    <t xml:space="preserve">Mazagon Dock Shipbuilders Limited</t>
  </si>
  <si>
    <t xml:space="preserve">MAZDOCK</t>
  </si>
  <si>
    <t xml:space="preserve">JSW Energy Limited</t>
  </si>
  <si>
    <t xml:space="preserve">JSWENERGY</t>
  </si>
  <si>
    <t xml:space="preserve">Federal Bank Ltd.</t>
  </si>
  <si>
    <t xml:space="preserve">FEDERALBNK</t>
  </si>
  <si>
    <t xml:space="preserve">National Aluminium Co. Ltd.</t>
  </si>
  <si>
    <t xml:space="preserve">NATIONALUM</t>
  </si>
  <si>
    <t xml:space="preserve">MCX</t>
  </si>
  <si>
    <t xml:space="preserve">Dixon Technologies (India) Limited</t>
  </si>
  <si>
    <t xml:space="preserve">DIXON</t>
  </si>
  <si>
    <t xml:space="preserve">Glenmark Pharmaceuticals ltd</t>
  </si>
  <si>
    <t xml:space="preserve">GLENMARK</t>
  </si>
  <si>
    <t xml:space="preserve">Linde India Limited</t>
  </si>
  <si>
    <t xml:space="preserve">LINDEINDIA</t>
  </si>
  <si>
    <t xml:space="preserve">Colgate-Palmolive (India) Ltd.</t>
  </si>
  <si>
    <t xml:space="preserve">COLPAL</t>
  </si>
  <si>
    <t xml:space="preserve">Voltas Ltd.</t>
  </si>
  <si>
    <t xml:space="preserve">VOLTAS</t>
  </si>
  <si>
    <t xml:space="preserve">Mphasis Limited</t>
  </si>
  <si>
    <t xml:space="preserve">MPHASIS</t>
  </si>
  <si>
    <t xml:space="preserve">KEI Industries Ltd.</t>
  </si>
  <si>
    <t xml:space="preserve">KEI</t>
  </si>
  <si>
    <t xml:space="preserve">Authum Investment &amp; Infrastructure Limited</t>
  </si>
  <si>
    <t xml:space="preserve">AIIL</t>
  </si>
  <si>
    <t xml:space="preserve">PETRONET LNG LTD.</t>
  </si>
  <si>
    <t xml:space="preserve">PETRONET</t>
  </si>
  <si>
    <t xml:space="preserve">Cochin Shipyard Limited</t>
  </si>
  <si>
    <t xml:space="preserve">COCHINSHIP</t>
  </si>
  <si>
    <t xml:space="preserve">Anthem Biosciences Limited</t>
  </si>
  <si>
    <t xml:space="preserve">ANTHEM</t>
  </si>
  <si>
    <t xml:space="preserve">United Breweries Ltd.</t>
  </si>
  <si>
    <t xml:space="preserve">UBL</t>
  </si>
  <si>
    <t xml:space="preserve">Gujarat Fluorochemicals Limited</t>
  </si>
  <si>
    <t xml:space="preserve">FLUOROCHEM</t>
  </si>
  <si>
    <t xml:space="preserve">3M India Ltd.</t>
  </si>
  <si>
    <t xml:space="preserve">3MINDIA</t>
  </si>
  <si>
    <t xml:space="preserve">AIA Engineering Ltd.</t>
  </si>
  <si>
    <t xml:space="preserve">AIAENG</t>
  </si>
  <si>
    <t xml:space="preserve">Ajanta Pharma Ltd.</t>
  </si>
  <si>
    <t xml:space="preserve">AJANTPHARM</t>
  </si>
  <si>
    <t xml:space="preserve">Hexaware Technologies Limited</t>
  </si>
  <si>
    <t xml:space="preserve">HEXT</t>
  </si>
  <si>
    <t xml:space="preserve">CRISIL Ltd.</t>
  </si>
  <si>
    <t xml:space="preserve">CRISIL</t>
  </si>
  <si>
    <t xml:space="preserve">Central Depository Services (India) Ltd.</t>
  </si>
  <si>
    <t xml:space="preserve">CDSL</t>
  </si>
  <si>
    <t xml:space="preserve">Force Motors Limited</t>
  </si>
  <si>
    <t xml:space="preserve">FORCEMOT</t>
  </si>
  <si>
    <t xml:space="preserve">Himadri Speciality Chemical Ltd.</t>
  </si>
  <si>
    <t xml:space="preserve">HSCL</t>
  </si>
  <si>
    <t xml:space="preserve">Deepak Nitrite Limited</t>
  </si>
  <si>
    <t xml:space="preserve">DEEPAKNTR</t>
  </si>
  <si>
    <t xml:space="preserve">Pfizer Ltd.</t>
  </si>
  <si>
    <t xml:space="preserve">PFIZER</t>
  </si>
  <si>
    <t xml:space="preserve">Data Patterns (India) Limited</t>
  </si>
  <si>
    <t xml:space="preserve">DATAPATTNS</t>
  </si>
  <si>
    <t xml:space="preserve">R R KABEL LIMITED</t>
  </si>
  <si>
    <t xml:space="preserve">RRKABEL</t>
  </si>
  <si>
    <t xml:space="preserve">National Securities Depository Limited</t>
  </si>
  <si>
    <t xml:space="preserve">NSDL</t>
  </si>
  <si>
    <t xml:space="preserve">Computer Age Management Services Limited</t>
  </si>
  <si>
    <t xml:space="preserve">CAMS</t>
  </si>
  <si>
    <t xml:space="preserve">Syrma SGS Technology Limited</t>
  </si>
  <si>
    <t xml:space="preserve">SYRMA</t>
  </si>
  <si>
    <t xml:space="preserve">Inox Wind Limited</t>
  </si>
  <si>
    <t xml:space="preserve">INOXWIND</t>
  </si>
  <si>
    <t xml:space="preserve">Vedanta Power Limited</t>
  </si>
  <si>
    <t xml:space="preserve">VEDPOWER</t>
  </si>
  <si>
    <t xml:space="preserve">JBM Auto Limited</t>
  </si>
  <si>
    <t xml:space="preserve">JBMA</t>
  </si>
  <si>
    <t xml:space="preserve">Cupid Limited</t>
  </si>
  <si>
    <t xml:space="preserve">CUPID</t>
  </si>
  <si>
    <t xml:space="preserve">Vedanta Oil and Gas Limited</t>
  </si>
  <si>
    <t xml:space="preserve">VOGL</t>
  </si>
  <si>
    <t xml:space="preserve">Vedanta Iron and Steel Limited</t>
  </si>
  <si>
    <t xml:space="preserve">VISL</t>
  </si>
  <si>
    <t xml:space="preserve">SWAN DEFENCE AND HEAVY INDUSTRIES LIMITED</t>
  </si>
  <si>
    <t xml:space="preserve">SWANDEF</t>
  </si>
  <si>
    <t xml:space="preserve">OLECTRA GREENTECH LIMITED</t>
  </si>
  <si>
    <t xml:space="preserve">OLECTRA</t>
  </si>
  <si>
    <t xml:space="preserve">Tejas Networks Limited</t>
  </si>
  <si>
    <t xml:space="preserve">TEJASNET</t>
  </si>
  <si>
    <t xml:space="preserve">Avalon Technologies Limited</t>
  </si>
  <si>
    <t xml:space="preserve">AVALON</t>
  </si>
  <si>
    <t xml:space="preserve">V2 Retail Limited</t>
  </si>
  <si>
    <t xml:space="preserve">V2RETAIL</t>
  </si>
  <si>
    <t xml:space="preserve">E2E Networks Limited</t>
  </si>
  <si>
    <t xml:space="preserve">E2E</t>
  </si>
  <si>
    <t xml:space="preserve">Pricol Limited</t>
  </si>
  <si>
    <t xml:space="preserve">PRICOLLTD</t>
  </si>
  <si>
    <t xml:space="preserve">Technocraft Industries (India) Ltd.</t>
  </si>
  <si>
    <t xml:space="preserve">TIIL</t>
  </si>
  <si>
    <t xml:space="preserve">CMS Info Systems Limited</t>
  </si>
  <si>
    <t xml:space="preserve">CMSINFO</t>
  </si>
  <si>
    <t xml:space="preserve">V.S.T.Tillers Tractors Ltd.</t>
  </si>
  <si>
    <t xml:space="preserve">VSTTILLERS</t>
  </si>
  <si>
    <t xml:space="preserve">ASM Technologies Ltd.</t>
  </si>
  <si>
    <t xml:space="preserve">ASMTEC</t>
  </si>
  <si>
    <t xml:space="preserve">SIGMA ADVANCED SYSTEMS LIMITED</t>
  </si>
  <si>
    <t xml:space="preserve">SIGMAADV</t>
  </si>
  <si>
    <t xml:space="preserve">Cyient DLM Limited</t>
  </si>
  <si>
    <t xml:space="preserve">CYIENTDLM</t>
  </si>
  <si>
    <t xml:space="preserve">Sumeet Industries Ltd</t>
  </si>
  <si>
    <t xml:space="preserve">SUMEETINDS</t>
  </si>
  <si>
    <t xml:space="preserve">SBI Funds Management Ltd</t>
  </si>
  <si>
    <t xml:space="preserve">SBIFUNDS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</si>
</sst>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##,##0;&quot;-₹&quot;###,##0"/>
    <numFmt numFmtId="166" formatCode="0.00%"/>
    <numFmt numFmtId="167" formatCode="0.00"/>
    <numFmt numFmtId="168" formatCode="0"/>
    <numFmt numFmtId="169" formatCode="0%"/>
    <numFmt numFmtId="170" formatCode="\₹###,##0.00"/>
    <numFmt numFmtId="171" formatCode="###,##0"/>
    <numFmt numFmtId="172" formatCode="0.0000%"/>
    <numFmt numFmtId="173" formatCode="#,##0"/>
    <numFmt numFmtId="174" formatCode="\+0.0000%;\-0.0000%;0.0000%"/>
    <numFmt numFmtId="175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weights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Sectors!C3</c:f>
              <c:strCache>
                <c:ptCount val="1"/>
                <c:pt idx="0">
                  <c:v>Index Weight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Sectors!$A$4:$A$23</c:f>
              <c:strCache>
                <c:ptCount val="20"/>
                <c:pt idx="0">
                  <c:v>Banking</c:v>
                </c:pt>
                <c:pt idx="1">
                  <c:v>Oil, Gas &amp; Fuels</c:v>
                </c:pt>
                <c:pt idx="2">
                  <c:v>IT</c:v>
                </c:pt>
                <c:pt idx="3">
                  <c:v>Capital Goods &amp; Defence</c:v>
                </c:pt>
                <c:pt idx="4">
                  <c:v>FMCG</c:v>
                </c:pt>
                <c:pt idx="5">
                  <c:v>Pharma &amp; Healthcare</c:v>
                </c:pt>
                <c:pt idx="6">
                  <c:v>Power</c:v>
                </c:pt>
                <c:pt idx="7">
                  <c:v>Metals &amp; Mining</c:v>
                </c:pt>
                <c:pt idx="8">
                  <c:v>Automobile</c:v>
                </c:pt>
                <c:pt idx="9">
                  <c:v>Capital Markets</c:v>
                </c:pt>
                <c:pt idx="10">
                  <c:v>Cement</c:v>
                </c:pt>
                <c:pt idx="11">
                  <c:v>Ports &amp; Services</c:v>
                </c:pt>
                <c:pt idx="12">
                  <c:v>Chemicals</c:v>
                </c:pt>
                <c:pt idx="13">
                  <c:v>Financial Services</c:v>
                </c:pt>
                <c:pt idx="14">
                  <c:v>Electronics Manufacturing</c:v>
                </c:pt>
                <c:pt idx="15">
                  <c:v>Consumer Durables</c:v>
                </c:pt>
                <c:pt idx="16">
                  <c:v>Diversified</c:v>
                </c:pt>
                <c:pt idx="17">
                  <c:v>Telecom</c:v>
                </c:pt>
                <c:pt idx="18">
                  <c:v>Retail</c:v>
                </c:pt>
                <c:pt idx="19">
                  <c:v>Textiles</c:v>
                </c:pt>
              </c:strCache>
            </c:strRef>
          </c:cat>
          <c:val>
            <c:numRef>
              <c:f>Sectors!$C$4:$C$23</c:f>
              <c:numCache>
                <c:formatCode>0.00%</c:formatCode>
                <c:ptCount val="20"/>
                <c:pt idx="0">
                  <c:v>0.210902129234889</c:v>
                </c:pt>
                <c:pt idx="1">
                  <c:v>0.122189639386945</c:v>
                </c:pt>
                <c:pt idx="2">
                  <c:v>0.100810749038733</c:v>
                </c:pt>
                <c:pt idx="3">
                  <c:v>0.0964562956205836</c:v>
                </c:pt>
                <c:pt idx="4">
                  <c:v>0.0840451382302781</c:v>
                </c:pt>
                <c:pt idx="5">
                  <c:v>0.0837197198264311</c:v>
                </c:pt>
                <c:pt idx="6">
                  <c:v>0.0600361021873705</c:v>
                </c:pt>
                <c:pt idx="7">
                  <c:v>0.0570430131120893</c:v>
                </c:pt>
                <c:pt idx="8">
                  <c:v>0.0555945181252266</c:v>
                </c:pt>
                <c:pt idx="9">
                  <c:v>0.0322900773688759</c:v>
                </c:pt>
                <c:pt idx="10">
                  <c:v>0.0257980354483239</c:v>
                </c:pt>
                <c:pt idx="11">
                  <c:v>0.0235754022107326</c:v>
                </c:pt>
                <c:pt idx="12">
                  <c:v>0.0195691743997657</c:v>
                </c:pt>
                <c:pt idx="13">
                  <c:v>0.0141344672986137</c:v>
                </c:pt>
                <c:pt idx="14">
                  <c:v>0.00818345025319417</c:v>
                </c:pt>
                <c:pt idx="15">
                  <c:v>0.00229705361722625</c:v>
                </c:pt>
                <c:pt idx="16">
                  <c:v>0.00219216423938471</c:v>
                </c:pt>
                <c:pt idx="17">
                  <c:v>0.000642284106443043</c:v>
                </c:pt>
                <c:pt idx="18">
                  <c:v>0.000473190075460673</c:v>
                </c:pt>
                <c:pt idx="19">
                  <c:v>4.73962194323607E-005</c:v>
                </c:pt>
              </c:numCache>
            </c:numRef>
          </c:val>
        </c:ser>
        <c:gapWidth val="150"/>
        <c:overlap val="0"/>
        <c:axId val="64317562"/>
        <c:axId val="78576999"/>
      </c:barChart>
      <c:catAx>
        <c:axId val="643175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76999"/>
        <c:crosses val="autoZero"/>
        <c:auto val="1"/>
        <c:lblAlgn val="ctr"/>
        <c:lblOffset val="100"/>
        <c:noMultiLvlLbl val="0"/>
      </c:catAx>
      <c:valAx>
        <c:axId val="78576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17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17</xdr:col>
      <xdr:colOff>4320</xdr:colOff>
      <xdr:row>21</xdr:row>
      <xdr:rowOff>72000</xdr:rowOff>
    </xdr:to>
    <xdr:graphicFrame>
      <xdr:nvGraphicFramePr>
        <xdr:cNvPr id="0" name="Chart 1"/>
        <xdr:cNvGraphicFramePr/>
      </xdr:nvGraphicFramePr>
      <xdr:xfrm>
        <a:off x="7448400" y="3808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38000000</v>
      </c>
      <c r="D5" s="2" t="s">
        <v>3</v>
      </c>
    </row>
    <row r="6" customFormat="false" ht="15" hidden="false" customHeight="false" outlineLevel="0" collapsed="false">
      <c r="B6" s="3" t="s">
        <v>4</v>
      </c>
      <c r="C6" s="5" t="n">
        <f aca="false">MAX(Portfolio!$P$6:$P$104)</f>
        <v>37967470.8364353</v>
      </c>
    </row>
    <row r="7" customFormat="false" ht="15" hidden="false" customHeight="false" outlineLevel="0" collapsed="false">
      <c r="B7" s="3" t="s">
        <v>5</v>
      </c>
      <c r="C7" s="6" t="str">
        <f aca="false">INDEX(Portfolio!$B$6:$B$104,MATCH(C6,Portfolio!$P$6:$P$104,0))</f>
        <v>Technocraft Industries (India) Ltd.</v>
      </c>
    </row>
    <row r="8" customFormat="false" ht="15" hidden="false" customHeight="false" outlineLevel="0" collapsed="false">
      <c r="B8" s="3" t="s">
        <v>6</v>
      </c>
      <c r="C8" s="5" t="n">
        <f aca="false">Portfolio!J105</f>
        <v>37853272</v>
      </c>
    </row>
    <row r="9" customFormat="false" ht="15" hidden="false" customHeight="false" outlineLevel="0" collapsed="false">
      <c r="B9" s="3" t="s">
        <v>7</v>
      </c>
      <c r="C9" s="7" t="n">
        <f aca="false">C5-C8</f>
        <v>146728</v>
      </c>
    </row>
    <row r="10" customFormat="false" ht="15" hidden="false" customHeight="false" outlineLevel="0" collapsed="false">
      <c r="B10" s="3" t="s">
        <v>8</v>
      </c>
      <c r="C10" s="6" t="str">
        <f aca="false">COUNTIF(Portfolio!$I$6:$I$104,"&gt;=1")&amp;" of 99"</f>
        <v>99 of 99</v>
      </c>
      <c r="D10" s="2" t="s">
        <v>9</v>
      </c>
    </row>
    <row r="11" customFormat="false" ht="15" hidden="false" customHeight="false" outlineLevel="0" collapsed="false">
      <c r="B11" s="3" t="s">
        <v>10</v>
      </c>
      <c r="C11" s="8" t="n">
        <f aca="false">SUMPRODUCT(ABS(Portfolio!$L$6:$L$104))/2</f>
        <v>0.00258601346845794</v>
      </c>
    </row>
    <row r="12" customFormat="false" ht="15" hidden="false" customHeight="false" outlineLevel="0" collapsed="false">
      <c r="B12" s="3" t="s">
        <v>11</v>
      </c>
      <c r="C12" s="9" t="str">
        <f aca="false">IFERROR(SUMPRODUCT(--ISNUMBER(Portfolio!$M$6:$M$104),Portfolio!$K$6:$K$104,Portfolio!$M$6:$M$104)/SUMPRODUCT(--ISNUMBER(Portfolio!$M$6:$M$104),Portfolio!$K$6:$K$104),"Run AAVL99 beta program")</f>
        <v>Run AAVL99 beta program</v>
      </c>
      <c r="D12" s="2" t="s">
        <v>12</v>
      </c>
    </row>
    <row r="13" customFormat="false" ht="15" hidden="false" customHeight="false" outlineLevel="0" collapsed="false">
      <c r="B13" s="3" t="s">
        <v>13</v>
      </c>
      <c r="C13" s="8" t="n">
        <f aca="false">SUMPRODUCT(--ISNUMBER(Portfolio!$M$6:$M$104),Portfolio!$K$6:$K$104)</f>
        <v>0</v>
      </c>
    </row>
    <row r="16" customFormat="false" ht="15" hidden="false" customHeight="false" outlineLevel="0" collapsed="false">
      <c r="B16" s="3" t="s">
        <v>14</v>
      </c>
    </row>
    <row r="17" customFormat="false" ht="15" hidden="false" customHeight="false" outlineLevel="0" collapsed="false">
      <c r="B17" s="10" t="s">
        <v>15</v>
      </c>
    </row>
    <row r="18" customFormat="false" ht="15" hidden="false" customHeight="false" outlineLevel="0" collapsed="false">
      <c r="B18" s="10" t="s">
        <v>16</v>
      </c>
    </row>
    <row r="19" customFormat="false" ht="15" hidden="false" customHeight="false" outlineLevel="0" collapsed="false">
      <c r="B19" s="10" t="s">
        <v>17</v>
      </c>
    </row>
    <row r="20" customFormat="false" ht="15" hidden="false" customHeight="false" outlineLevel="0" collapsed="false">
      <c r="B20" s="10" t="s">
        <v>18</v>
      </c>
    </row>
    <row r="21" customFormat="false" ht="15" hidden="false" customHeight="false" outlineLevel="0" collapsed="false">
      <c r="B21" s="1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20</v>
      </c>
    </row>
    <row r="3" customFormat="false" ht="33.75" hidden="false" customHeight="true" outlineLevel="0" collapsed="false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</row>
    <row r="4" customFormat="false" ht="15" hidden="false" customHeight="false" outlineLevel="0" collapsed="false">
      <c r="A4" s="12" t="s">
        <v>27</v>
      </c>
      <c r="B4" s="12" t="n">
        <f aca="false">COUNTIF(Portfolio!$D$6:$D$104,A4)</f>
        <v>5</v>
      </c>
      <c r="C4" s="13" t="n">
        <f aca="false">SUMIF(Portfolio!$D$6:$D$104,A4,Portfolio!$G$6:$G$104)</f>
        <v>0.210902129234889</v>
      </c>
      <c r="D4" s="14" t="n">
        <f aca="false">SUMIF(Portfolio!$D$6:$D$104,A4,Portfolio!$J$6:$J$104)</f>
        <v>8011225.15</v>
      </c>
      <c r="E4" s="13" t="n">
        <f aca="false">SUMIF(Portfolio!$D$6:$D$104,A4,Portfolio!$K$6:$K$104)</f>
        <v>0.21163890799189</v>
      </c>
      <c r="F4" s="15" t="str">
        <f aca="false">IFERROR(SUMPRODUCT(--(Portfolio!$D$6:$D$104=A4),--ISNUMBER(Portfolio!$M$6:$M$104),Portfolio!$K$6:$K$104,Portfolio!$M$6:$M$104)/SUMPRODUCT(--(Portfolio!$D$6:$D$104=A4),--ISNUMBER(Portfolio!$M$6:$M$104),Portfolio!$K$6:$K$104),"–")</f>
        <v>–</v>
      </c>
    </row>
    <row r="5" customFormat="false" ht="15" hidden="false" customHeight="false" outlineLevel="0" collapsed="false">
      <c r="A5" s="12" t="s">
        <v>28</v>
      </c>
      <c r="B5" s="12" t="n">
        <f aca="false">COUNTIF(Portfolio!$D$6:$D$104,A5)</f>
        <v>4</v>
      </c>
      <c r="C5" s="13" t="n">
        <f aca="false">SUMIF(Portfolio!$D$6:$D$104,A5,Portfolio!$G$6:$G$104)</f>
        <v>0.122189639386945</v>
      </c>
      <c r="D5" s="14" t="n">
        <f aca="false">SUMIF(Portfolio!$D$6:$D$104,A5,Portfolio!$J$6:$J$104)</f>
        <v>4642610.35</v>
      </c>
      <c r="E5" s="13" t="n">
        <f aca="false">SUMIF(Portfolio!$D$6:$D$104,A5,Portfolio!$K$6:$K$104)</f>
        <v>0.122647530971695</v>
      </c>
      <c r="F5" s="15" t="str">
        <f aca="false">IFERROR(SUMPRODUCT(--(Portfolio!$D$6:$D$104=A5),--ISNUMBER(Portfolio!$M$6:$M$104),Portfolio!$K$6:$K$104,Portfolio!$M$6:$M$104)/SUMPRODUCT(--(Portfolio!$D$6:$D$104=A5),--ISNUMBER(Portfolio!$M$6:$M$104),Portfolio!$K$6:$K$104),"–")</f>
        <v>–</v>
      </c>
    </row>
    <row r="6" customFormat="false" ht="15" hidden="false" customHeight="false" outlineLevel="0" collapsed="false">
      <c r="A6" s="12" t="s">
        <v>29</v>
      </c>
      <c r="B6" s="12" t="n">
        <f aca="false">COUNTIF(Portfolio!$D$6:$D$104,A6)</f>
        <v>8</v>
      </c>
      <c r="C6" s="13" t="n">
        <f aca="false">SUMIF(Portfolio!$D$6:$D$104,A6,Portfolio!$G$6:$G$104)</f>
        <v>0.100810749038733</v>
      </c>
      <c r="D6" s="14" t="n">
        <f aca="false">SUMIF(Portfolio!$D$6:$D$104,A6,Portfolio!$J$6:$J$104)</f>
        <v>3821891</v>
      </c>
      <c r="E6" s="13" t="n">
        <f aca="false">SUMIF(Portfolio!$D$6:$D$104,A6,Portfolio!$K$6:$K$104)</f>
        <v>0.100965934992357</v>
      </c>
      <c r="F6" s="15" t="str">
        <f aca="false">IFERROR(SUMPRODUCT(--(Portfolio!$D$6:$D$104=A6),--ISNUMBER(Portfolio!$M$6:$M$104),Portfolio!$K$6:$K$104,Portfolio!$M$6:$M$104)/SUMPRODUCT(--(Portfolio!$D$6:$D$104=A6),--ISNUMBER(Portfolio!$M$6:$M$104),Portfolio!$K$6:$K$104),"–")</f>
        <v>–</v>
      </c>
    </row>
    <row r="7" customFormat="false" ht="15" hidden="false" customHeight="false" outlineLevel="0" collapsed="false">
      <c r="A7" s="12" t="s">
        <v>30</v>
      </c>
      <c r="B7" s="12" t="n">
        <f aca="false">COUNTIF(Portfolio!$D$6:$D$104,A7)</f>
        <v>15</v>
      </c>
      <c r="C7" s="13" t="n">
        <f aca="false">SUMIF(Portfolio!$D$6:$D$104,A7,Portfolio!$G$6:$G$104)</f>
        <v>0.0964562956205836</v>
      </c>
      <c r="D7" s="14" t="n">
        <f aca="false">SUMIF(Portfolio!$D$6:$D$104,A7,Portfolio!$J$6:$J$104)</f>
        <v>3646867.18</v>
      </c>
      <c r="E7" s="13" t="n">
        <f aca="false">SUMIF(Portfolio!$D$6:$D$104,A7,Portfolio!$K$6:$K$104)</f>
        <v>0.0963421915019658</v>
      </c>
      <c r="F7" s="15" t="str">
        <f aca="false">IFERROR(SUMPRODUCT(--(Portfolio!$D$6:$D$104=A7),--ISNUMBER(Portfolio!$M$6:$M$104),Portfolio!$K$6:$K$104,Portfolio!$M$6:$M$104)/SUMPRODUCT(--(Portfolio!$D$6:$D$104=A7),--ISNUMBER(Portfolio!$M$6:$M$104),Portfolio!$K$6:$K$104),"–")</f>
        <v>–</v>
      </c>
    </row>
    <row r="8" customFormat="false" ht="15" hidden="false" customHeight="false" outlineLevel="0" collapsed="false">
      <c r="A8" s="12" t="s">
        <v>31</v>
      </c>
      <c r="B8" s="12" t="n">
        <f aca="false">COUNTIF(Portfolio!$D$6:$D$104,A8)</f>
        <v>8</v>
      </c>
      <c r="C8" s="13" t="n">
        <f aca="false">SUMIF(Portfolio!$D$6:$D$104,A8,Portfolio!$G$6:$G$104)</f>
        <v>0.0840451382302781</v>
      </c>
      <c r="D8" s="14" t="n">
        <f aca="false">SUMIF(Portfolio!$D$6:$D$104,A8,Portfolio!$J$6:$J$104)</f>
        <v>3185990.35</v>
      </c>
      <c r="E8" s="13" t="n">
        <f aca="false">SUMIF(Portfolio!$D$6:$D$104,A8,Portfolio!$K$6:$K$104)</f>
        <v>0.0841668416405324</v>
      </c>
      <c r="F8" s="15" t="str">
        <f aca="false">IFERROR(SUMPRODUCT(--(Portfolio!$D$6:$D$104=A8),--ISNUMBER(Portfolio!$M$6:$M$104),Portfolio!$K$6:$K$104,Portfolio!$M$6:$M$104)/SUMPRODUCT(--(Portfolio!$D$6:$D$104=A8),--ISNUMBER(Portfolio!$M$6:$M$104),Portfolio!$K$6:$K$104),"–")</f>
        <v>–</v>
      </c>
    </row>
    <row r="9" customFormat="false" ht="15" hidden="false" customHeight="false" outlineLevel="0" collapsed="false">
      <c r="A9" s="12" t="s">
        <v>32</v>
      </c>
      <c r="B9" s="12" t="n">
        <f aca="false">COUNTIF(Portfolio!$D$6:$D$104,A9)</f>
        <v>10</v>
      </c>
      <c r="C9" s="13" t="n">
        <f aca="false">SUMIF(Portfolio!$D$6:$D$104,A9,Portfolio!$G$6:$G$104)</f>
        <v>0.0837197198264311</v>
      </c>
      <c r="D9" s="14" t="n">
        <f aca="false">SUMIF(Portfolio!$D$6:$D$104,A9,Portfolio!$J$6:$J$104)</f>
        <v>3159029.3</v>
      </c>
      <c r="E9" s="13" t="n">
        <f aca="false">SUMIF(Portfolio!$D$6:$D$104,A9,Portfolio!$K$6:$K$104)</f>
        <v>0.0834545901342426</v>
      </c>
      <c r="F9" s="15" t="str">
        <f aca="false">IFERROR(SUMPRODUCT(--(Portfolio!$D$6:$D$104=A9),--ISNUMBER(Portfolio!$M$6:$M$104),Portfolio!$K$6:$K$104,Portfolio!$M$6:$M$104)/SUMPRODUCT(--(Portfolio!$D$6:$D$104=A9),--ISNUMBER(Portfolio!$M$6:$M$104),Portfolio!$K$6:$K$104),"–")</f>
        <v>–</v>
      </c>
    </row>
    <row r="10" customFormat="false" ht="15" hidden="false" customHeight="false" outlineLevel="0" collapsed="false">
      <c r="A10" s="12" t="s">
        <v>33</v>
      </c>
      <c r="B10" s="12" t="n">
        <f aca="false">COUNTIF(Portfolio!$D$6:$D$104,A10)</f>
        <v>6</v>
      </c>
      <c r="C10" s="13" t="n">
        <f aca="false">SUMIF(Portfolio!$D$6:$D$104,A10,Portfolio!$G$6:$G$104)</f>
        <v>0.0600361021873705</v>
      </c>
      <c r="D10" s="14" t="n">
        <f aca="false">SUMIF(Portfolio!$D$6:$D$104,A10,Portfolio!$J$6:$J$104)</f>
        <v>2278948.53</v>
      </c>
      <c r="E10" s="13" t="n">
        <f aca="false">SUMIF(Portfolio!$D$6:$D$104,A10,Portfolio!$K$6:$K$104)</f>
        <v>0.0602047962987189</v>
      </c>
      <c r="F10" s="15" t="str">
        <f aca="false">IFERROR(SUMPRODUCT(--(Portfolio!$D$6:$D$104=A10),--ISNUMBER(Portfolio!$M$6:$M$104),Portfolio!$K$6:$K$104,Portfolio!$M$6:$M$104)/SUMPRODUCT(--(Portfolio!$D$6:$D$104=A10),--ISNUMBER(Portfolio!$M$6:$M$104),Portfolio!$K$6:$K$104),"–")</f>
        <v>–</v>
      </c>
    </row>
    <row r="11" customFormat="false" ht="15" hidden="false" customHeight="false" outlineLevel="0" collapsed="false">
      <c r="A11" s="12" t="s">
        <v>34</v>
      </c>
      <c r="B11" s="12" t="n">
        <f aca="false">COUNTIF(Portfolio!$D$6:$D$104,A11)</f>
        <v>6</v>
      </c>
      <c r="C11" s="13" t="n">
        <f aca="false">SUMIF(Portfolio!$D$6:$D$104,A11,Portfolio!$G$6:$G$104)</f>
        <v>0.0570430131120893</v>
      </c>
      <c r="D11" s="14" t="n">
        <f aca="false">SUMIF(Portfolio!$D$6:$D$104,A11,Portfolio!$J$6:$J$104)</f>
        <v>2165856.41</v>
      </c>
      <c r="E11" s="13" t="n">
        <f aca="false">SUMIF(Portfolio!$D$6:$D$104,A11,Portfolio!$K$6:$K$104)</f>
        <v>0.0572171517960191</v>
      </c>
      <c r="F11" s="15" t="str">
        <f aca="false">IFERROR(SUMPRODUCT(--(Portfolio!$D$6:$D$104=A11),--ISNUMBER(Portfolio!$M$6:$M$104),Portfolio!$K$6:$K$104,Portfolio!$M$6:$M$104)/SUMPRODUCT(--(Portfolio!$D$6:$D$104=A11),--ISNUMBER(Portfolio!$M$6:$M$104),Portfolio!$K$6:$K$104),"–")</f>
        <v>–</v>
      </c>
    </row>
    <row r="12" customFormat="false" ht="15" hidden="false" customHeight="false" outlineLevel="0" collapsed="false">
      <c r="A12" s="12" t="s">
        <v>35</v>
      </c>
      <c r="B12" s="12" t="n">
        <f aca="false">COUNTIF(Portfolio!$D$6:$D$104,A12)</f>
        <v>9</v>
      </c>
      <c r="C12" s="13" t="n">
        <f aca="false">SUMIF(Portfolio!$D$6:$D$104,A12,Portfolio!$G$6:$G$104)</f>
        <v>0.0555945181252266</v>
      </c>
      <c r="D12" s="14" t="n">
        <f aca="false">SUMIF(Portfolio!$D$6:$D$104,A12,Portfolio!$J$6:$J$104)</f>
        <v>2086983.25</v>
      </c>
      <c r="E12" s="13" t="n">
        <f aca="false">SUMIF(Portfolio!$D$6:$D$104,A12,Portfolio!$K$6:$K$104)</f>
        <v>0.0551334967819955</v>
      </c>
      <c r="F12" s="15" t="str">
        <f aca="false">IFERROR(SUMPRODUCT(--(Portfolio!$D$6:$D$104=A12),--ISNUMBER(Portfolio!$M$6:$M$104),Portfolio!$K$6:$K$104,Portfolio!$M$6:$M$104)/SUMPRODUCT(--(Portfolio!$D$6:$D$104=A12),--ISNUMBER(Portfolio!$M$6:$M$104),Portfolio!$K$6:$K$104),"–")</f>
        <v>–</v>
      </c>
    </row>
    <row r="13" customFormat="false" ht="15" hidden="false" customHeight="false" outlineLevel="0" collapsed="false">
      <c r="A13" s="12" t="s">
        <v>36</v>
      </c>
      <c r="B13" s="12" t="n">
        <f aca="false">COUNTIF(Portfolio!$D$6:$D$104,A13)</f>
        <v>7</v>
      </c>
      <c r="C13" s="13" t="n">
        <f aca="false">SUMIF(Portfolio!$D$6:$D$104,A13,Portfolio!$G$6:$G$104)</f>
        <v>0.0322900773688759</v>
      </c>
      <c r="D13" s="14" t="n">
        <f aca="false">SUMIF(Portfolio!$D$6:$D$104,A13,Portfolio!$J$6:$J$104)</f>
        <v>1221487.1</v>
      </c>
      <c r="E13" s="13" t="n">
        <f aca="false">SUMIF(Portfolio!$D$6:$D$104,A13,Portfolio!$K$6:$K$104)</f>
        <v>0.0322689964555772</v>
      </c>
      <c r="F13" s="15" t="str">
        <f aca="false">IFERROR(SUMPRODUCT(--(Portfolio!$D$6:$D$104=A13),--ISNUMBER(Portfolio!$M$6:$M$104),Portfolio!$K$6:$K$104,Portfolio!$M$6:$M$104)/SUMPRODUCT(--(Portfolio!$D$6:$D$104=A13),--ISNUMBER(Portfolio!$M$6:$M$104),Portfolio!$K$6:$K$104),"–")</f>
        <v>–</v>
      </c>
    </row>
    <row r="14" customFormat="false" ht="15" hidden="false" customHeight="false" outlineLevel="0" collapsed="false">
      <c r="A14" s="12" t="s">
        <v>37</v>
      </c>
      <c r="B14" s="12" t="n">
        <f aca="false">COUNTIF(Portfolio!$D$6:$D$104,A14)</f>
        <v>2</v>
      </c>
      <c r="C14" s="13" t="n">
        <f aca="false">SUMIF(Portfolio!$D$6:$D$104,A14,Portfolio!$G$6:$G$104)</f>
        <v>0.0257980354483239</v>
      </c>
      <c r="D14" s="14" t="n">
        <f aca="false">SUMIF(Portfolio!$D$6:$D$104,A14,Portfolio!$J$6:$J$104)</f>
        <v>970910.9</v>
      </c>
      <c r="E14" s="13" t="n">
        <f aca="false">SUMIF(Portfolio!$D$6:$D$104,A14,Portfolio!$K$6:$K$104)</f>
        <v>0.025649325638217</v>
      </c>
      <c r="F14" s="15" t="str">
        <f aca="false">IFERROR(SUMPRODUCT(--(Portfolio!$D$6:$D$104=A14),--ISNUMBER(Portfolio!$M$6:$M$104),Portfolio!$K$6:$K$104,Portfolio!$M$6:$M$104)/SUMPRODUCT(--(Portfolio!$D$6:$D$104=A14),--ISNUMBER(Portfolio!$M$6:$M$104),Portfolio!$K$6:$K$104),"–")</f>
        <v>–</v>
      </c>
    </row>
    <row r="15" customFormat="false" ht="15" hidden="false" customHeight="false" outlineLevel="0" collapsed="false">
      <c r="A15" s="12" t="s">
        <v>38</v>
      </c>
      <c r="B15" s="12" t="n">
        <f aca="false">COUNTIF(Portfolio!$D$6:$D$104,A15)</f>
        <v>2</v>
      </c>
      <c r="C15" s="13" t="n">
        <f aca="false">SUMIF(Portfolio!$D$6:$D$104,A15,Portfolio!$G$6:$G$104)</f>
        <v>0.0235754022107326</v>
      </c>
      <c r="D15" s="14" t="n">
        <f aca="false">SUMIF(Portfolio!$D$6:$D$104,A15,Portfolio!$J$6:$J$104)</f>
        <v>894968.95</v>
      </c>
      <c r="E15" s="13" t="n">
        <f aca="false">SUMIF(Portfolio!$D$6:$D$104,A15,Portfolio!$K$6:$K$104)</f>
        <v>0.0236431067306414</v>
      </c>
      <c r="F15" s="15" t="str">
        <f aca="false">IFERROR(SUMPRODUCT(--(Portfolio!$D$6:$D$104=A15),--ISNUMBER(Portfolio!$M$6:$M$104),Portfolio!$K$6:$K$104,Portfolio!$M$6:$M$104)/SUMPRODUCT(--(Portfolio!$D$6:$D$104=A15),--ISNUMBER(Portfolio!$M$6:$M$104),Portfolio!$K$6:$K$104),"–")</f>
        <v>–</v>
      </c>
    </row>
    <row r="16" customFormat="false" ht="15" hidden="false" customHeight="false" outlineLevel="0" collapsed="false">
      <c r="A16" s="12" t="s">
        <v>39</v>
      </c>
      <c r="B16" s="12" t="n">
        <f aca="false">COUNTIF(Portfolio!$D$6:$D$104,A16)</f>
        <v>5</v>
      </c>
      <c r="C16" s="13" t="n">
        <f aca="false">SUMIF(Portfolio!$D$6:$D$104,A16,Portfolio!$G$6:$G$104)</f>
        <v>0.0195691743997657</v>
      </c>
      <c r="D16" s="14" t="n">
        <f aca="false">SUMIF(Portfolio!$D$6:$D$104,A16,Portfolio!$J$6:$J$104)</f>
        <v>736150.6</v>
      </c>
      <c r="E16" s="13" t="n">
        <f aca="false">SUMIF(Portfolio!$D$6:$D$104,A16,Portfolio!$K$6:$K$104)</f>
        <v>0.0194474760332475</v>
      </c>
      <c r="F16" s="15" t="str">
        <f aca="false">IFERROR(SUMPRODUCT(--(Portfolio!$D$6:$D$104=A16),--ISNUMBER(Portfolio!$M$6:$M$104),Portfolio!$K$6:$K$104,Portfolio!$M$6:$M$104)/SUMPRODUCT(--(Portfolio!$D$6:$D$104=A16),--ISNUMBER(Portfolio!$M$6:$M$104),Portfolio!$K$6:$K$104),"–")</f>
        <v>–</v>
      </c>
    </row>
    <row r="17" customFormat="false" ht="15" hidden="false" customHeight="false" outlineLevel="0" collapsed="false">
      <c r="A17" s="12" t="s">
        <v>40</v>
      </c>
      <c r="B17" s="12" t="n">
        <f aca="false">COUNTIF(Portfolio!$D$6:$D$104,A17)</f>
        <v>3</v>
      </c>
      <c r="C17" s="13" t="n">
        <f aca="false">SUMIF(Portfolio!$D$6:$D$104,A17,Portfolio!$G$6:$G$104)</f>
        <v>0.0141344672986137</v>
      </c>
      <c r="D17" s="14" t="n">
        <f aca="false">SUMIF(Portfolio!$D$6:$D$104,A17,Portfolio!$J$6:$J$104)</f>
        <v>533831.8</v>
      </c>
      <c r="E17" s="13" t="n">
        <f aca="false">SUMIF(Portfolio!$D$6:$D$104,A17,Portfolio!$K$6:$K$104)</f>
        <v>0.0141026593421039</v>
      </c>
      <c r="F17" s="15" t="str">
        <f aca="false">IFERROR(SUMPRODUCT(--(Portfolio!$D$6:$D$104=A17),--ISNUMBER(Portfolio!$M$6:$M$104),Portfolio!$K$6:$K$104,Portfolio!$M$6:$M$104)/SUMPRODUCT(--(Portfolio!$D$6:$D$104=A17),--ISNUMBER(Portfolio!$M$6:$M$104),Portfolio!$K$6:$K$104),"–")</f>
        <v>–</v>
      </c>
    </row>
    <row r="18" customFormat="false" ht="15" hidden="false" customHeight="false" outlineLevel="0" collapsed="false">
      <c r="A18" s="12" t="s">
        <v>41</v>
      </c>
      <c r="B18" s="12" t="n">
        <f aca="false">COUNTIF(Portfolio!$D$6:$D$104,A18)</f>
        <v>4</v>
      </c>
      <c r="C18" s="13" t="n">
        <f aca="false">SUMIF(Portfolio!$D$6:$D$104,A18,Portfolio!$G$6:$G$104)</f>
        <v>0.00818345025319417</v>
      </c>
      <c r="D18" s="14" t="n">
        <f aca="false">SUMIF(Portfolio!$D$6:$D$104,A18,Portfolio!$J$6:$J$104)</f>
        <v>299105.4</v>
      </c>
      <c r="E18" s="13" t="n">
        <f aca="false">SUMIF(Portfolio!$D$6:$D$104,A18,Portfolio!$K$6:$K$104)</f>
        <v>0.00790170530040309</v>
      </c>
      <c r="F18" s="15" t="str">
        <f aca="false">IFERROR(SUMPRODUCT(--(Portfolio!$D$6:$D$104=A18),--ISNUMBER(Portfolio!$M$6:$M$104),Portfolio!$K$6:$K$104,Portfolio!$M$6:$M$104)/SUMPRODUCT(--(Portfolio!$D$6:$D$104=A18),--ISNUMBER(Portfolio!$M$6:$M$104),Portfolio!$K$6:$K$104),"–")</f>
        <v>–</v>
      </c>
    </row>
    <row r="19" customFormat="false" ht="15" hidden="false" customHeight="false" outlineLevel="0" collapsed="false">
      <c r="A19" s="12" t="s">
        <v>42</v>
      </c>
      <c r="B19" s="12" t="n">
        <f aca="false">COUNTIF(Portfolio!$D$6:$D$104,A19)</f>
        <v>1</v>
      </c>
      <c r="C19" s="13" t="n">
        <f aca="false">SUMIF(Portfolio!$D$6:$D$104,A19,Portfolio!$G$6:$G$104)</f>
        <v>0.00229705361722625</v>
      </c>
      <c r="D19" s="14" t="n">
        <f aca="false">SUMIF(Portfolio!$D$6:$D$104,A19,Portfolio!$J$6:$J$104)</f>
        <v>86760</v>
      </c>
      <c r="E19" s="13" t="n">
        <f aca="false">SUMIF(Portfolio!$D$6:$D$104,A19,Portfolio!$K$6:$K$104)</f>
        <v>0.00229200794055531</v>
      </c>
      <c r="F19" s="15" t="str">
        <f aca="false">IFERROR(SUMPRODUCT(--(Portfolio!$D$6:$D$104=A19),--ISNUMBER(Portfolio!$M$6:$M$104),Portfolio!$K$6:$K$104,Portfolio!$M$6:$M$104)/SUMPRODUCT(--(Portfolio!$D$6:$D$104=A19),--ISNUMBER(Portfolio!$M$6:$M$104),Portfolio!$K$6:$K$104),"–")</f>
        <v>–</v>
      </c>
    </row>
    <row r="20" customFormat="false" ht="15" hidden="false" customHeight="false" outlineLevel="0" collapsed="false">
      <c r="A20" s="12" t="s">
        <v>43</v>
      </c>
      <c r="B20" s="12" t="n">
        <f aca="false">COUNTIF(Portfolio!$D$6:$D$104,A20)</f>
        <v>1</v>
      </c>
      <c r="C20" s="13" t="n">
        <f aca="false">SUMIF(Portfolio!$D$6:$D$104,A20,Portfolio!$G$6:$G$104)</f>
        <v>0.00219216423938471</v>
      </c>
      <c r="D20" s="14" t="n">
        <f aca="false">SUMIF(Portfolio!$D$6:$D$104,A20,Portfolio!$J$6:$J$104)</f>
        <v>66630</v>
      </c>
      <c r="E20" s="13" t="n">
        <f aca="false">SUMIF(Portfolio!$D$6:$D$104,A20,Portfolio!$K$6:$K$104)</f>
        <v>0.00176021771644998</v>
      </c>
      <c r="F20" s="15" t="str">
        <f aca="false">IFERROR(SUMPRODUCT(--(Portfolio!$D$6:$D$104=A20),--ISNUMBER(Portfolio!$M$6:$M$104),Portfolio!$K$6:$K$104,Portfolio!$M$6:$M$104)/SUMPRODUCT(--(Portfolio!$D$6:$D$104=A20),--ISNUMBER(Portfolio!$M$6:$M$104),Portfolio!$K$6:$K$104),"–")</f>
        <v>–</v>
      </c>
    </row>
    <row r="21" customFormat="false" ht="15" hidden="false" customHeight="false" outlineLevel="0" collapsed="false">
      <c r="A21" s="12" t="s">
        <v>44</v>
      </c>
      <c r="B21" s="12" t="n">
        <f aca="false">COUNTIF(Portfolio!$D$6:$D$104,A21)</f>
        <v>1</v>
      </c>
      <c r="C21" s="13" t="n">
        <f aca="false">SUMIF(Portfolio!$D$6:$D$104,A21,Portfolio!$G$6:$G$104)</f>
        <v>0.000642284106443043</v>
      </c>
      <c r="D21" s="14" t="n">
        <f aca="false">SUMIF(Portfolio!$D$6:$D$104,A21,Portfolio!$J$6:$J$104)</f>
        <v>24340.15</v>
      </c>
      <c r="E21" s="13" t="n">
        <f aca="false">SUMIF(Portfolio!$D$6:$D$104,A21,Portfolio!$K$6:$K$104)</f>
        <v>0.000643013105974036</v>
      </c>
      <c r="F21" s="15" t="str">
        <f aca="false">IFERROR(SUMPRODUCT(--(Portfolio!$D$6:$D$104=A21),--ISNUMBER(Portfolio!$M$6:$M$104),Portfolio!$K$6:$K$104,Portfolio!$M$6:$M$104)/SUMPRODUCT(--(Portfolio!$D$6:$D$104=A21),--ISNUMBER(Portfolio!$M$6:$M$104),Portfolio!$K$6:$K$104),"–")</f>
        <v>–</v>
      </c>
    </row>
    <row r="22" customFormat="false" ht="15" hidden="false" customHeight="false" outlineLevel="0" collapsed="false">
      <c r="A22" s="12" t="s">
        <v>45</v>
      </c>
      <c r="B22" s="12" t="n">
        <f aca="false">COUNTIF(Portfolio!$D$6:$D$104,A22)</f>
        <v>1</v>
      </c>
      <c r="C22" s="13" t="n">
        <f aca="false">SUMIF(Portfolio!$D$6:$D$104,A22,Portfolio!$G$6:$G$104)</f>
        <v>0.000473190075460673</v>
      </c>
      <c r="D22" s="14" t="n">
        <f aca="false">SUMIF(Portfolio!$D$6:$D$104,A22,Portfolio!$J$6:$J$104)</f>
        <v>17891.58</v>
      </c>
      <c r="E22" s="13" t="n">
        <f aca="false">SUMIF(Portfolio!$D$6:$D$104,A22,Portfolio!$K$6:$K$104)</f>
        <v>0.000472656102225456</v>
      </c>
      <c r="F22" s="15" t="str">
        <f aca="false">IFERROR(SUMPRODUCT(--(Portfolio!$D$6:$D$104=A22),--ISNUMBER(Portfolio!$M$6:$M$104),Portfolio!$K$6:$K$104,Portfolio!$M$6:$M$104)/SUMPRODUCT(--(Portfolio!$D$6:$D$104=A22),--ISNUMBER(Portfolio!$M$6:$M$104),Portfolio!$K$6:$K$104),"–")</f>
        <v>–</v>
      </c>
    </row>
    <row r="23" customFormat="false" ht="15" hidden="false" customHeight="false" outlineLevel="0" collapsed="false">
      <c r="A23" s="12" t="s">
        <v>46</v>
      </c>
      <c r="B23" s="12" t="n">
        <f aca="false">COUNTIF(Portfolio!$D$6:$D$104,A23)</f>
        <v>1</v>
      </c>
      <c r="C23" s="13" t="n">
        <f aca="false">SUMIF(Portfolio!$D$6:$D$104,A23,Portfolio!$G$6:$G$104)</f>
        <v>4.73962194323607E-005</v>
      </c>
      <c r="D23" s="14" t="n">
        <f aca="false">SUMIF(Portfolio!$D$6:$D$104,A23,Portfolio!$J$6:$J$104)</f>
        <v>1794</v>
      </c>
      <c r="E23" s="13" t="n">
        <f aca="false">SUMIF(Portfolio!$D$6:$D$104,A23,Portfolio!$K$6:$K$104)</f>
        <v>4.73935251885227E-005</v>
      </c>
      <c r="F23" s="15" t="str">
        <f aca="false">IFERROR(SUMPRODUCT(--(Portfolio!$D$6:$D$104=A23),--ISNUMBER(Portfolio!$M$6:$M$104),Portfolio!$K$6:$K$104,Portfolio!$M$6:$M$104)/SUMPRODUCT(--(Portfolio!$D$6:$D$104=A23),--ISNUMBER(Portfolio!$M$6:$M$104),Portfolio!$K$6:$K$104),"–")</f>
        <v>–</v>
      </c>
    </row>
    <row r="24" customFormat="false" ht="15" hidden="false" customHeight="false" outlineLevel="0" collapsed="false">
      <c r="A24" s="3" t="s">
        <v>47</v>
      </c>
      <c r="B24" s="16" t="n">
        <f aca="false">SUM(B4:B23)</f>
        <v>99</v>
      </c>
      <c r="C24" s="17" t="n">
        <f aca="false">SUM(C4:C23)</f>
        <v>1</v>
      </c>
      <c r="D24" s="18" t="n">
        <f aca="false">SUM(D4:D23)</f>
        <v>37853272</v>
      </c>
      <c r="E24" s="17" t="n">
        <f aca="false">SUM(E4:E23)</f>
        <v>1</v>
      </c>
      <c r="F24" s="19" t="str">
        <f aca="false">Summary!C12</f>
        <v>Run AAVL99 beta program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3.75" hidden="false" customHeight="true" outlineLevel="0" collapsed="false">
      <c r="A4" s="11" t="s">
        <v>50</v>
      </c>
      <c r="B4" s="11" t="s">
        <v>51</v>
      </c>
      <c r="C4" s="11" t="s">
        <v>24</v>
      </c>
      <c r="D4" s="11" t="s">
        <v>52</v>
      </c>
      <c r="E4" s="11" t="s">
        <v>53</v>
      </c>
    </row>
    <row r="5" customFormat="false" ht="15" hidden="false" customHeight="false" outlineLevel="0" collapsed="false">
      <c r="A5" s="20" t="n">
        <v>500000</v>
      </c>
      <c r="B5" s="21" t="n">
        <f aca="false">SUMPRODUCT(--(ROUNDDOWN(A5*Portfolio!$G$6:$G$104/Portfolio!$E$6:$E$104,0)&gt;=1))</f>
        <v>55</v>
      </c>
      <c r="C5" s="14" t="n">
        <f aca="false">SUMPRODUCT(ROUNDDOWN(A5*Portfolio!$G$6:$G$104/Portfolio!$E$6:$E$104,0),Portfolio!$E$6:$E$104)</f>
        <v>401687.98</v>
      </c>
      <c r="D5" s="14" t="n">
        <f aca="false">A5-C5</f>
        <v>98312.02</v>
      </c>
      <c r="E5" s="13" t="n">
        <f aca="false">SUMPRODUCT(ABS(ROUNDDOWN(A5*Portfolio!$G$6:$G$104/Portfolio!$E$6:$E$104,0)*Portfolio!$E$6:$E$104/C5-Portfolio!$G$6:$G$104))/2</f>
        <v>0.155088650335319</v>
      </c>
    </row>
    <row r="6" customFormat="false" ht="15" hidden="false" customHeight="false" outlineLevel="0" collapsed="false">
      <c r="A6" s="20" t="n">
        <v>1000000</v>
      </c>
      <c r="B6" s="21" t="n">
        <f aca="false">SUMPRODUCT(--(ROUNDDOWN(A6*Portfolio!$G$6:$G$104/Portfolio!$E$6:$E$104,0)&gt;=1))</f>
        <v>76</v>
      </c>
      <c r="C6" s="14" t="n">
        <f aca="false">SUMPRODUCT(ROUNDDOWN(A6*Portfolio!$G$6:$G$104/Portfolio!$E$6:$E$104,0),Portfolio!$E$6:$E$104)</f>
        <v>889601.11</v>
      </c>
      <c r="D6" s="14" t="n">
        <f aca="false">A6-C6</f>
        <v>110398.89</v>
      </c>
      <c r="E6" s="13" t="n">
        <f aca="false">SUMPRODUCT(ABS(ROUNDDOWN(A6*Portfolio!$G$6:$G$104/Portfolio!$E$6:$E$104,0)*Portfolio!$E$6:$E$104/C6-Portfolio!$G$6:$G$104))/2</f>
        <v>0.078329228692948</v>
      </c>
    </row>
    <row r="7" customFormat="false" ht="15" hidden="false" customHeight="false" outlineLevel="0" collapsed="false">
      <c r="A7" s="20" t="n">
        <v>2500000</v>
      </c>
      <c r="B7" s="21" t="n">
        <f aca="false">SUMPRODUCT(--(ROUNDDOWN(A7*Portfolio!$G$6:$G$104/Portfolio!$E$6:$E$104,0)&gt;=1))</f>
        <v>87</v>
      </c>
      <c r="C7" s="14" t="n">
        <f aca="false">SUMPRODUCT(ROUNDDOWN(A7*Portfolio!$G$6:$G$104/Portfolio!$E$6:$E$104,0),Portfolio!$E$6:$E$104)</f>
        <v>2376887.79</v>
      </c>
      <c r="D7" s="14" t="n">
        <f aca="false">A7-C7</f>
        <v>123112.21</v>
      </c>
      <c r="E7" s="13" t="n">
        <f aca="false">SUMPRODUCT(ABS(ROUNDDOWN(A7*Portfolio!$G$6:$G$104/Portfolio!$E$6:$E$104,0)*Portfolio!$E$6:$E$104/C7-Portfolio!$G$6:$G$104))/2</f>
        <v>0.0340020096847852</v>
      </c>
    </row>
    <row r="8" customFormat="false" ht="15" hidden="false" customHeight="false" outlineLevel="0" collapsed="false">
      <c r="A8" s="20" t="n">
        <v>5000000</v>
      </c>
      <c r="B8" s="21" t="n">
        <f aca="false">SUMPRODUCT(--(ROUNDDOWN(A8*Portfolio!$G$6:$G$104/Portfolio!$E$6:$E$104,0)&gt;=1))</f>
        <v>94</v>
      </c>
      <c r="C8" s="14" t="n">
        <f aca="false">SUMPRODUCT(ROUNDDOWN(A8*Portfolio!$G$6:$G$104/Portfolio!$E$6:$E$104,0),Portfolio!$E$6:$E$104)</f>
        <v>4858591.9</v>
      </c>
      <c r="D8" s="14" t="n">
        <f aca="false">A8-C8</f>
        <v>141408.1</v>
      </c>
      <c r="E8" s="13" t="n">
        <f aca="false">SUMPRODUCT(ABS(ROUNDDOWN(A8*Portfolio!$G$6:$G$104/Portfolio!$E$6:$E$104,0)*Portfolio!$E$6:$E$104/C8-Portfolio!$G$6:$G$104))/2</f>
        <v>0.0190060109035871</v>
      </c>
    </row>
    <row r="9" customFormat="false" ht="15" hidden="false" customHeight="false" outlineLevel="0" collapsed="false">
      <c r="A9" s="20" t="n">
        <v>10000000</v>
      </c>
      <c r="B9" s="21" t="n">
        <f aca="false">SUMPRODUCT(--(ROUNDDOWN(A9*Portfolio!$G$6:$G$104/Portfolio!$E$6:$E$104,0)&gt;=1))</f>
        <v>94</v>
      </c>
      <c r="C9" s="14" t="n">
        <f aca="false">SUMPRODUCT(ROUNDDOWN(A9*Portfolio!$G$6:$G$104/Portfolio!$E$6:$E$104,0),Portfolio!$E$6:$E$104)</f>
        <v>9848908.52</v>
      </c>
      <c r="D9" s="14" t="n">
        <f aca="false">A9-C9</f>
        <v>151091.48</v>
      </c>
      <c r="E9" s="13" t="n">
        <f aca="false">SUMPRODUCT(ABS(ROUNDDOWN(A9*Portfolio!$G$6:$G$104/Portfolio!$E$6:$E$104,0)*Portfolio!$E$6:$E$104/C9-Portfolio!$G$6:$G$104))/2</f>
        <v>0.0101770463595709</v>
      </c>
    </row>
    <row r="10" customFormat="false" ht="15" hidden="false" customHeight="false" outlineLevel="0" collapsed="false">
      <c r="A10" s="20" t="n">
        <v>20000000</v>
      </c>
      <c r="B10" s="21" t="n">
        <f aca="false">SUMPRODUCT(--(ROUNDDOWN(A10*Portfolio!$G$6:$G$104/Portfolio!$E$6:$E$104,0)&gt;=1))</f>
        <v>98</v>
      </c>
      <c r="C10" s="14" t="n">
        <f aca="false">SUMPRODUCT(ROUNDDOWN(A10*Portfolio!$G$6:$G$104/Portfolio!$E$6:$E$104,0),Portfolio!$E$6:$E$104)</f>
        <v>19876654.76</v>
      </c>
      <c r="D10" s="14" t="n">
        <f aca="false">A10-C10</f>
        <v>123345.239999998</v>
      </c>
      <c r="E10" s="13" t="n">
        <f aca="false">SUMPRODUCT(ABS(ROUNDDOWN(A10*Portfolio!$G$6:$G$104/Portfolio!$E$6:$E$104,0)*Portfolio!$E$6:$E$104/C10-Portfolio!$G$6:$G$104))/2</f>
        <v>0.0039388128981601</v>
      </c>
    </row>
    <row r="11" customFormat="false" ht="15" hidden="false" customHeight="false" outlineLevel="0" collapsed="false">
      <c r="A11" s="22" t="n">
        <f aca="false">ROUNDUP(Summary!C6,-5)</f>
        <v>38000000</v>
      </c>
      <c r="B11" s="21" t="n">
        <f aca="false">SUMPRODUCT(--(ROUNDDOWN(A11*Portfolio!$G$6:$G$104/Portfolio!$E$6:$E$104,0)&gt;=1))</f>
        <v>99</v>
      </c>
      <c r="C11" s="14" t="n">
        <f aca="false">SUMPRODUCT(ROUNDDOWN(A11*Portfolio!$G$6:$G$104/Portfolio!$E$6:$E$104,0),Portfolio!$E$6:$E$104)</f>
        <v>37853272</v>
      </c>
      <c r="D11" s="14" t="n">
        <f aca="false">A11-C11</f>
        <v>146728</v>
      </c>
      <c r="E11" s="13" t="n">
        <f aca="false">SUMPRODUCT(ABS(ROUNDDOWN(A11*Portfolio!$G$6:$G$104/Portfolio!$E$6:$E$104,0)*Portfolio!$E$6:$E$104/C11-Portfolio!$G$6:$G$104))/2</f>
        <v>0.00258601346845794</v>
      </c>
    </row>
    <row r="12" customFormat="false" ht="15" hidden="false" customHeight="false" outlineLevel="0" collapsed="false">
      <c r="A12" s="2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3" t="s">
        <v>56</v>
      </c>
      <c r="C2" s="5" t="n">
        <f aca="false">Summary!C5</f>
        <v>38000000</v>
      </c>
      <c r="D2" s="2" t="s">
        <v>57</v>
      </c>
    </row>
    <row r="5" customFormat="false" ht="45" hidden="false" customHeight="true" outlineLevel="0" collapsed="false">
      <c r="A5" s="11" t="s">
        <v>58</v>
      </c>
      <c r="B5" s="11" t="s">
        <v>59</v>
      </c>
      <c r="C5" s="11" t="s">
        <v>60</v>
      </c>
      <c r="D5" s="11" t="s">
        <v>21</v>
      </c>
      <c r="E5" s="11" t="s">
        <v>61</v>
      </c>
      <c r="F5" s="11" t="s">
        <v>62</v>
      </c>
      <c r="G5" s="11" t="s">
        <v>63</v>
      </c>
      <c r="H5" s="11" t="s">
        <v>64</v>
      </c>
      <c r="I5" s="11" t="s">
        <v>65</v>
      </c>
      <c r="J5" s="11" t="s">
        <v>24</v>
      </c>
      <c r="K5" s="11" t="s">
        <v>66</v>
      </c>
      <c r="L5" s="11" t="s">
        <v>67</v>
      </c>
      <c r="M5" s="11" t="s">
        <v>68</v>
      </c>
      <c r="N5" s="11" t="s">
        <v>69</v>
      </c>
      <c r="O5" s="11" t="s">
        <v>70</v>
      </c>
      <c r="P5" s="11" t="s">
        <v>71</v>
      </c>
    </row>
    <row r="6" customFormat="false" ht="15" hidden="false" customHeight="false" outlineLevel="0" collapsed="false">
      <c r="A6" s="24" t="n">
        <v>1</v>
      </c>
      <c r="B6" s="24" t="s">
        <v>72</v>
      </c>
      <c r="C6" s="24" t="s">
        <v>73</v>
      </c>
      <c r="D6" s="24" t="s">
        <v>28</v>
      </c>
      <c r="E6" s="25" t="n">
        <v>1286.5</v>
      </c>
      <c r="F6" s="26" t="n">
        <f aca="false">1353.2*E6</f>
        <v>1740891.8</v>
      </c>
      <c r="G6" s="27" t="n">
        <f aca="false">F6/$F$105</f>
        <v>0.103398107469671</v>
      </c>
      <c r="H6" s="28" t="n">
        <f aca="false">$C$2*G6</f>
        <v>3929128.08384749</v>
      </c>
      <c r="I6" s="29" t="n">
        <f aca="false">ROUNDDOWN(H6/E6,0)</f>
        <v>3054</v>
      </c>
      <c r="J6" s="30" t="n">
        <f aca="false">I6*E6</f>
        <v>3928971</v>
      </c>
      <c r="K6" s="27" t="n">
        <f aca="false">IF($J$105=0,0,J6/$J$105)</f>
        <v>0.103794752538169</v>
      </c>
      <c r="L6" s="31" t="n">
        <f aca="false">K6-G6</f>
        <v>0.000396645068498153</v>
      </c>
      <c r="M6" s="32"/>
      <c r="N6" s="33"/>
      <c r="O6" s="34" t="str">
        <f aca="false">IF(ISNUMBER(M6),K6*M6,"")</f>
        <v/>
      </c>
      <c r="P6" s="28" t="n">
        <f aca="false">E6/G6</f>
        <v>12442.2006503104</v>
      </c>
    </row>
    <row r="7" customFormat="false" ht="15" hidden="false" customHeight="false" outlineLevel="0" collapsed="false">
      <c r="A7" s="12" t="n">
        <v>2</v>
      </c>
      <c r="B7" s="12" t="s">
        <v>74</v>
      </c>
      <c r="C7" s="12" t="s">
        <v>75</v>
      </c>
      <c r="D7" s="12" t="s">
        <v>27</v>
      </c>
      <c r="E7" s="35" t="n">
        <v>715.2</v>
      </c>
      <c r="F7" s="36" t="n">
        <v>1093482</v>
      </c>
      <c r="G7" s="37" t="n">
        <f aca="false">F7/$F$105</f>
        <v>0.0649460060367626</v>
      </c>
      <c r="H7" s="14" t="n">
        <f aca="false">$C$2*G7</f>
        <v>2467948.22939698</v>
      </c>
      <c r="I7" s="38" t="n">
        <f aca="false">ROUNDDOWN(H7/E7,0)</f>
        <v>3450</v>
      </c>
      <c r="J7" s="39" t="n">
        <f aca="false">I7*E7</f>
        <v>2467440</v>
      </c>
      <c r="K7" s="37" t="n">
        <f aca="false">IF($J$105=0,0,J7/$J$105)</f>
        <v>0.0651843254131373</v>
      </c>
      <c r="L7" s="40" t="n">
        <f aca="false">K7-G7</f>
        <v>0.000238319376374696</v>
      </c>
      <c r="M7" s="41"/>
      <c r="N7" s="21"/>
      <c r="O7" s="42" t="str">
        <f aca="false">IF(ISNUMBER(M7),K7*M7,"")</f>
        <v/>
      </c>
      <c r="P7" s="14" t="n">
        <f aca="false">E7/G7</f>
        <v>11012.2245176272</v>
      </c>
    </row>
    <row r="8" customFormat="false" ht="15" hidden="false" customHeight="false" outlineLevel="0" collapsed="false">
      <c r="A8" s="12" t="n">
        <v>3</v>
      </c>
      <c r="B8" s="12" t="s">
        <v>76</v>
      </c>
      <c r="C8" s="12" t="s">
        <v>77</v>
      </c>
      <c r="D8" s="12" t="s">
        <v>27</v>
      </c>
      <c r="E8" s="35" t="n">
        <v>1042</v>
      </c>
      <c r="F8" s="36" t="n">
        <v>946277</v>
      </c>
      <c r="G8" s="37" t="n">
        <f aca="false">F8/$F$105</f>
        <v>0.056202947789218</v>
      </c>
      <c r="H8" s="14" t="n">
        <f aca="false">$C$2*G8</f>
        <v>2135712.01599028</v>
      </c>
      <c r="I8" s="38" t="n">
        <f aca="false">ROUNDDOWN(H8/E8,0)</f>
        <v>2049</v>
      </c>
      <c r="J8" s="39" t="n">
        <f aca="false">I8*E8</f>
        <v>2135058</v>
      </c>
      <c r="K8" s="37" t="n">
        <f aca="false">IF($J$105=0,0,J8/$J$105)</f>
        <v>0.0564035256978578</v>
      </c>
      <c r="L8" s="40" t="n">
        <f aca="false">K8-G8</f>
        <v>0.000200577908639803</v>
      </c>
      <c r="M8" s="41"/>
      <c r="N8" s="21"/>
      <c r="O8" s="42" t="str">
        <f aca="false">IF(ISNUMBER(M8),K8*M8,"")</f>
        <v/>
      </c>
      <c r="P8" s="14" t="n">
        <f aca="false">E8/G8</f>
        <v>18539.9528136476</v>
      </c>
    </row>
    <row r="9" customFormat="false" ht="15" hidden="false" customHeight="false" outlineLevel="0" collapsed="false">
      <c r="A9" s="12" t="n">
        <v>4</v>
      </c>
      <c r="B9" s="12" t="s">
        <v>78</v>
      </c>
      <c r="C9" s="12" t="s">
        <v>79</v>
      </c>
      <c r="D9" s="12" t="s">
        <v>27</v>
      </c>
      <c r="E9" s="35" t="n">
        <v>1441</v>
      </c>
      <c r="F9" s="36" t="n">
        <v>1030255</v>
      </c>
      <c r="G9" s="37" t="n">
        <f aca="false">F9/$F$105</f>
        <v>0.061190716856249</v>
      </c>
      <c r="H9" s="14" t="n">
        <f aca="false">$C$2*G9</f>
        <v>2325247.24053746</v>
      </c>
      <c r="I9" s="38" t="n">
        <f aca="false">ROUNDDOWN(H9/E9,0)</f>
        <v>1613</v>
      </c>
      <c r="J9" s="39" t="n">
        <f aca="false">I9*E9</f>
        <v>2324333</v>
      </c>
      <c r="K9" s="37" t="n">
        <f aca="false">IF($J$105=0,0,J9/$J$105)</f>
        <v>0.0614037539476112</v>
      </c>
      <c r="L9" s="40" t="n">
        <f aca="false">K9-G9</f>
        <v>0.000213037091362174</v>
      </c>
      <c r="M9" s="41"/>
      <c r="N9" s="21"/>
      <c r="O9" s="42" t="str">
        <f aca="false">IF(ISNUMBER(M9),K9*M9,"")</f>
        <v/>
      </c>
      <c r="P9" s="14" t="n">
        <f aca="false">E9/G9</f>
        <v>23549.3237215253</v>
      </c>
    </row>
    <row r="10" customFormat="false" ht="15" hidden="false" customHeight="false" outlineLevel="0" collapsed="false">
      <c r="A10" s="12" t="n">
        <v>5</v>
      </c>
      <c r="B10" s="12" t="s">
        <v>80</v>
      </c>
      <c r="C10" s="12" t="s">
        <v>81</v>
      </c>
      <c r="D10" s="12" t="s">
        <v>29</v>
      </c>
      <c r="E10" s="35" t="n">
        <v>2324.2</v>
      </c>
      <c r="F10" s="36" t="n">
        <v>844253</v>
      </c>
      <c r="G10" s="37" t="n">
        <f aca="false">F10/$F$105</f>
        <v>0.0501433589529183</v>
      </c>
      <c r="H10" s="14" t="n">
        <f aca="false">$C$2*G10</f>
        <v>1905447.64021089</v>
      </c>
      <c r="I10" s="38" t="n">
        <f aca="false">ROUNDDOWN(H10/E10,0)</f>
        <v>819</v>
      </c>
      <c r="J10" s="39" t="n">
        <f aca="false">I10*E10</f>
        <v>1903519.8</v>
      </c>
      <c r="K10" s="37" t="n">
        <f aca="false">IF($J$105=0,0,J10/$J$105)</f>
        <v>0.0502867968718794</v>
      </c>
      <c r="L10" s="40" t="n">
        <f aca="false">K10-G10</f>
        <v>0.000143437918961133</v>
      </c>
      <c r="M10" s="41"/>
      <c r="N10" s="21"/>
      <c r="O10" s="42" t="str">
        <f aca="false">IF(ISNUMBER(M10),K10*M10,"")</f>
        <v/>
      </c>
      <c r="P10" s="14" t="n">
        <f aca="false">E10/G10</f>
        <v>46351.1030878943</v>
      </c>
    </row>
    <row r="11" customFormat="false" ht="15" hidden="false" customHeight="false" outlineLevel="0" collapsed="false">
      <c r="A11" s="12" t="n">
        <v>6</v>
      </c>
      <c r="B11" s="12" t="s">
        <v>82</v>
      </c>
      <c r="C11" s="12" t="s">
        <v>83</v>
      </c>
      <c r="D11" s="12" t="s">
        <v>30</v>
      </c>
      <c r="E11" s="35" t="n">
        <v>4006</v>
      </c>
      <c r="F11" s="36" t="n">
        <v>549301</v>
      </c>
      <c r="G11" s="37" t="n">
        <f aca="false">F11/$F$105</f>
        <v>0.0326250510406205</v>
      </c>
      <c r="H11" s="14" t="n">
        <f aca="false">$C$2*G11</f>
        <v>1239751.93954358</v>
      </c>
      <c r="I11" s="38" t="n">
        <f aca="false">ROUNDDOWN(H11/E11,0)</f>
        <v>309</v>
      </c>
      <c r="J11" s="39" t="n">
        <f aca="false">I11*E11</f>
        <v>1237854</v>
      </c>
      <c r="K11" s="37" t="n">
        <f aca="false">IF($J$105=0,0,J11/$J$105)</f>
        <v>0.0327013738733074</v>
      </c>
      <c r="L11" s="40" t="n">
        <f aca="false">K11-G11</f>
        <v>7.63228326869717E-005</v>
      </c>
      <c r="M11" s="41"/>
      <c r="N11" s="21"/>
      <c r="O11" s="42" t="str">
        <f aca="false">IF(ISNUMBER(M11),K11*M11,"")</f>
        <v/>
      </c>
      <c r="P11" s="14" t="n">
        <f aca="false">E11/G11</f>
        <v>122789.079931622</v>
      </c>
    </row>
    <row r="12" customFormat="false" ht="15" hidden="false" customHeight="false" outlineLevel="0" collapsed="false">
      <c r="A12" s="12" t="n">
        <v>7</v>
      </c>
      <c r="B12" s="12" t="s">
        <v>84</v>
      </c>
      <c r="C12" s="12" t="s">
        <v>85</v>
      </c>
      <c r="D12" s="12" t="s">
        <v>29</v>
      </c>
      <c r="E12" s="35" t="n">
        <v>1122.9</v>
      </c>
      <c r="F12" s="36" t="n">
        <v>459209</v>
      </c>
      <c r="G12" s="37" t="n">
        <f aca="false">F12/$F$105</f>
        <v>0.0272741485329761</v>
      </c>
      <c r="H12" s="14" t="n">
        <f aca="false">$C$2*G12</f>
        <v>1036417.64425309</v>
      </c>
      <c r="I12" s="38" t="n">
        <f aca="false">ROUNDDOWN(H12/E12,0)</f>
        <v>922</v>
      </c>
      <c r="J12" s="39" t="n">
        <f aca="false">I12*E12</f>
        <v>1035313.8</v>
      </c>
      <c r="K12" s="37" t="n">
        <f aca="false">IF($J$105=0,0,J12/$J$105)</f>
        <v>0.0273507082822325</v>
      </c>
      <c r="L12" s="40" t="n">
        <f aca="false">K12-G12</f>
        <v>7.65597492564489E-005</v>
      </c>
      <c r="M12" s="41"/>
      <c r="N12" s="21"/>
      <c r="O12" s="42" t="str">
        <f aca="false">IF(ISNUMBER(M12),K12*M12,"")</f>
        <v/>
      </c>
      <c r="P12" s="14" t="n">
        <f aca="false">E12/G12</f>
        <v>41170.854468375</v>
      </c>
    </row>
    <row r="13" customFormat="false" ht="15" hidden="false" customHeight="false" outlineLevel="0" collapsed="false">
      <c r="A13" s="12" t="n">
        <v>8</v>
      </c>
      <c r="B13" s="12" t="s">
        <v>86</v>
      </c>
      <c r="C13" s="12" t="s">
        <v>87</v>
      </c>
      <c r="D13" s="12" t="s">
        <v>31</v>
      </c>
      <c r="E13" s="35" t="n">
        <v>2005</v>
      </c>
      <c r="F13" s="36" t="n">
        <v>461131</v>
      </c>
      <c r="G13" s="37" t="n">
        <f aca="false">F13/$F$105</f>
        <v>0.0273883033371728</v>
      </c>
      <c r="H13" s="14" t="n">
        <f aca="false">$C$2*G13</f>
        <v>1040755.52681257</v>
      </c>
      <c r="I13" s="38" t="n">
        <f aca="false">ROUNDDOWN(H13/E13,0)</f>
        <v>519</v>
      </c>
      <c r="J13" s="39" t="n">
        <f aca="false">I13*E13</f>
        <v>1040595</v>
      </c>
      <c r="K13" s="37" t="n">
        <f aca="false">IF($J$105=0,0,J13/$J$105)</f>
        <v>0.0274902259440082</v>
      </c>
      <c r="L13" s="40" t="n">
        <f aca="false">K13-G13</f>
        <v>0.00010192260683542</v>
      </c>
      <c r="M13" s="41"/>
      <c r="N13" s="21"/>
      <c r="O13" s="42" t="str">
        <f aca="false">IF(ISNUMBER(M13),K13*M13,"")</f>
        <v/>
      </c>
      <c r="P13" s="14" t="n">
        <f aca="false">E13/G13</f>
        <v>73206.4332469515</v>
      </c>
    </row>
    <row r="14" customFormat="false" ht="15" hidden="false" customHeight="false" outlineLevel="0" collapsed="false">
      <c r="A14" s="12" t="n">
        <v>9</v>
      </c>
      <c r="B14" s="12" t="s">
        <v>88</v>
      </c>
      <c r="C14" s="12" t="s">
        <v>89</v>
      </c>
      <c r="D14" s="12" t="s">
        <v>32</v>
      </c>
      <c r="E14" s="35" t="n">
        <v>1919.7</v>
      </c>
      <c r="F14" s="36" t="n">
        <v>459857</v>
      </c>
      <c r="G14" s="37" t="n">
        <f aca="false">F14/$F$105</f>
        <v>0.0273126356886053</v>
      </c>
      <c r="H14" s="14" t="n">
        <f aca="false">$C$2*G14</f>
        <v>1037880.156167</v>
      </c>
      <c r="I14" s="38" t="n">
        <f aca="false">ROUNDDOWN(H14/E14,0)</f>
        <v>540</v>
      </c>
      <c r="J14" s="39" t="n">
        <f aca="false">I14*E14</f>
        <v>1036638</v>
      </c>
      <c r="K14" s="37" t="n">
        <f aca="false">IF($J$105=0,0,J14/$J$105)</f>
        <v>0.027385690727079</v>
      </c>
      <c r="L14" s="40" t="n">
        <f aca="false">K14-G14</f>
        <v>7.30550384736746E-005</v>
      </c>
      <c r="M14" s="41"/>
      <c r="N14" s="21"/>
      <c r="O14" s="42" t="str">
        <f aca="false">IF(ISNUMBER(M14),K14*M14,"")</f>
        <v/>
      </c>
      <c r="P14" s="14" t="n">
        <f aca="false">E14/G14</f>
        <v>70286.1496739726</v>
      </c>
    </row>
    <row r="15" customFormat="false" ht="15" hidden="false" customHeight="false" outlineLevel="0" collapsed="false">
      <c r="A15" s="12" t="n">
        <v>10</v>
      </c>
      <c r="B15" s="12" t="s">
        <v>90</v>
      </c>
      <c r="C15" s="12" t="s">
        <v>91</v>
      </c>
      <c r="D15" s="12" t="s">
        <v>35</v>
      </c>
      <c r="E15" s="35" t="n">
        <v>3353</v>
      </c>
      <c r="F15" s="36" t="n">
        <v>392769</v>
      </c>
      <c r="G15" s="37" t="n">
        <f aca="false">F15/$F$105</f>
        <v>0.0233280272058006</v>
      </c>
      <c r="H15" s="14" t="n">
        <f aca="false">$C$2*G15</f>
        <v>886465.033820422</v>
      </c>
      <c r="I15" s="38" t="n">
        <f aca="false">ROUNDDOWN(H15/E15,0)</f>
        <v>264</v>
      </c>
      <c r="J15" s="39" t="n">
        <f aca="false">I15*E15</f>
        <v>885192</v>
      </c>
      <c r="K15" s="37" t="n">
        <f aca="false">IF($J$105=0,0,J15/$J$105)</f>
        <v>0.0233848212645924</v>
      </c>
      <c r="L15" s="40" t="n">
        <f aca="false">K15-G15</f>
        <v>5.67940587918245E-005</v>
      </c>
      <c r="M15" s="41"/>
      <c r="N15" s="21"/>
      <c r="O15" s="42" t="str">
        <f aca="false">IF(ISNUMBER(M15),K15*M15,"")</f>
        <v/>
      </c>
      <c r="P15" s="14" t="n">
        <f aca="false">E15/G15</f>
        <v>143732.685598303</v>
      </c>
    </row>
    <row r="16" customFormat="false" ht="15" hidden="false" customHeight="false" outlineLevel="0" collapsed="false">
      <c r="A16" s="12" t="n">
        <v>11</v>
      </c>
      <c r="B16" s="12" t="s">
        <v>92</v>
      </c>
      <c r="C16" s="12" t="s">
        <v>93</v>
      </c>
      <c r="D16" s="12" t="s">
        <v>27</v>
      </c>
      <c r="E16" s="35" t="n">
        <v>1261.8</v>
      </c>
      <c r="F16" s="36" t="n">
        <v>396207</v>
      </c>
      <c r="G16" s="37" t="n">
        <f aca="false">F16/$F$105</f>
        <v>0.0235322229481671</v>
      </c>
      <c r="H16" s="14" t="n">
        <f aca="false">$C$2*G16</f>
        <v>894224.472030348</v>
      </c>
      <c r="I16" s="38" t="n">
        <f aca="false">ROUNDDOWN(H16/E16,0)</f>
        <v>708</v>
      </c>
      <c r="J16" s="39" t="n">
        <f aca="false">I16*E16</f>
        <v>893354.4</v>
      </c>
      <c r="K16" s="37" t="n">
        <f aca="false">IF($J$105=0,0,J16/$J$105)</f>
        <v>0.0236004538788615</v>
      </c>
      <c r="L16" s="40" t="n">
        <f aca="false">K16-G16</f>
        <v>6.82309306944545E-005</v>
      </c>
      <c r="M16" s="41"/>
      <c r="N16" s="21"/>
      <c r="O16" s="42" t="str">
        <f aca="false">IF(ISNUMBER(M16),K16*M16,"")</f>
        <v/>
      </c>
      <c r="P16" s="14" t="n">
        <f aca="false">E16/G16</f>
        <v>53620.0937233719</v>
      </c>
    </row>
    <row r="17" customFormat="false" ht="15" hidden="false" customHeight="false" outlineLevel="0" collapsed="false">
      <c r="A17" s="12" t="n">
        <v>12</v>
      </c>
      <c r="B17" s="12" t="s">
        <v>94</v>
      </c>
      <c r="C17" s="12" t="s">
        <v>95</v>
      </c>
      <c r="D17" s="12" t="s">
        <v>31</v>
      </c>
      <c r="E17" s="35" t="n">
        <v>264.95</v>
      </c>
      <c r="F17" s="36" t="n">
        <v>330285</v>
      </c>
      <c r="G17" s="37" t="n">
        <f aca="false">F17/$F$105</f>
        <v>0.0196168675879915</v>
      </c>
      <c r="H17" s="14" t="n">
        <f aca="false">$C$2*G17</f>
        <v>745440.968343678</v>
      </c>
      <c r="I17" s="38" t="n">
        <f aca="false">ROUNDDOWN(H17/E17,0)</f>
        <v>2813</v>
      </c>
      <c r="J17" s="39" t="n">
        <f aca="false">I17*E17</f>
        <v>745304.35</v>
      </c>
      <c r="K17" s="37" t="n">
        <f aca="false">IF($J$105=0,0,J17/$J$105)</f>
        <v>0.0196892979291196</v>
      </c>
      <c r="L17" s="40" t="n">
        <f aca="false">K17-G17</f>
        <v>7.24303411280512E-005</v>
      </c>
      <c r="M17" s="41"/>
      <c r="N17" s="21"/>
      <c r="O17" s="42" t="str">
        <f aca="false">IF(ISNUMBER(M17),K17*M17,"")</f>
        <v/>
      </c>
      <c r="P17" s="14" t="n">
        <f aca="false">E17/G17</f>
        <v>13506.2337965817</v>
      </c>
    </row>
    <row r="18" customFormat="false" ht="15" hidden="false" customHeight="false" outlineLevel="0" collapsed="false">
      <c r="A18" s="12" t="n">
        <v>13</v>
      </c>
      <c r="B18" s="12" t="s">
        <v>96</v>
      </c>
      <c r="C18" s="12" t="s">
        <v>97</v>
      </c>
      <c r="D18" s="12" t="s">
        <v>38</v>
      </c>
      <c r="E18" s="35" t="n">
        <v>1656.8</v>
      </c>
      <c r="F18" s="36" t="n">
        <v>393055</v>
      </c>
      <c r="G18" s="37" t="n">
        <f aca="false">F18/$F$105</f>
        <v>0.0233450138207851</v>
      </c>
      <c r="H18" s="14" t="n">
        <f aca="false">$C$2*G18</f>
        <v>887110.525189834</v>
      </c>
      <c r="I18" s="38" t="n">
        <f aca="false">ROUNDDOWN(H18/E18,0)</f>
        <v>535</v>
      </c>
      <c r="J18" s="39" t="n">
        <f aca="false">I18*E18</f>
        <v>886388</v>
      </c>
      <c r="K18" s="37" t="n">
        <f aca="false">IF($J$105=0,0,J18/$J$105)</f>
        <v>0.0234164169480514</v>
      </c>
      <c r="L18" s="40" t="n">
        <f aca="false">K18-G18</f>
        <v>7.14031272663097E-005</v>
      </c>
      <c r="M18" s="41"/>
      <c r="N18" s="21"/>
      <c r="O18" s="42" t="str">
        <f aca="false">IF(ISNUMBER(M18),K18*M18,"")</f>
        <v/>
      </c>
      <c r="P18" s="14" t="n">
        <f aca="false">E18/G18</f>
        <v>70970.1871551208</v>
      </c>
    </row>
    <row r="19" customFormat="false" ht="15" hidden="false" customHeight="false" outlineLevel="0" collapsed="false">
      <c r="A19" s="12" t="n">
        <v>14</v>
      </c>
      <c r="B19" s="12" t="s">
        <v>98</v>
      </c>
      <c r="C19" s="12" t="s">
        <v>99</v>
      </c>
      <c r="D19" s="12" t="s">
        <v>37</v>
      </c>
      <c r="E19" s="35" t="n">
        <v>11444</v>
      </c>
      <c r="F19" s="36" t="n">
        <v>333721</v>
      </c>
      <c r="G19" s="37" t="n">
        <f aca="false">F19/$F$105</f>
        <v>0.0198209445428406</v>
      </c>
      <c r="H19" s="14" t="n">
        <f aca="false">$C$2*G19</f>
        <v>753195.892627944</v>
      </c>
      <c r="I19" s="38" t="n">
        <f aca="false">ROUNDDOWN(H19/E19,0)</f>
        <v>65</v>
      </c>
      <c r="J19" s="39" t="n">
        <f aca="false">I19*E19</f>
        <v>743860</v>
      </c>
      <c r="K19" s="37" t="n">
        <f aca="false">IF($J$105=0,0,J19/$J$105)</f>
        <v>0.0196511413861396</v>
      </c>
      <c r="L19" s="40" t="n">
        <f aca="false">K19-G19</f>
        <v>-0.000169803156701016</v>
      </c>
      <c r="M19" s="41"/>
      <c r="N19" s="21"/>
      <c r="O19" s="42" t="str">
        <f aca="false">IF(ISNUMBER(M19),K19*M19,"")</f>
        <v/>
      </c>
      <c r="P19" s="14" t="n">
        <f aca="false">E19/G19</f>
        <v>577369.053995643</v>
      </c>
    </row>
    <row r="20" customFormat="false" ht="15" hidden="false" customHeight="false" outlineLevel="0" collapsed="false">
      <c r="A20" s="12" t="n">
        <v>15</v>
      </c>
      <c r="B20" s="12" t="s">
        <v>100</v>
      </c>
      <c r="C20" s="12" t="s">
        <v>101</v>
      </c>
      <c r="D20" s="12" t="s">
        <v>33</v>
      </c>
      <c r="E20" s="35" t="n">
        <v>208.02</v>
      </c>
      <c r="F20" s="36" t="n">
        <v>400157</v>
      </c>
      <c r="G20" s="37" t="n">
        <f aca="false">F20/$F$105</f>
        <v>0.0237668282949814</v>
      </c>
      <c r="H20" s="14" t="n">
        <f aca="false">$C$2*G20</f>
        <v>903139.475209292</v>
      </c>
      <c r="I20" s="38" t="n">
        <f aca="false">ROUNDDOWN(H20/E20,0)</f>
        <v>4341</v>
      </c>
      <c r="J20" s="39" t="n">
        <f aca="false">I20*E20</f>
        <v>903014.82</v>
      </c>
      <c r="K20" s="37" t="n">
        <f aca="false">IF($J$105=0,0,J20/$J$105)</f>
        <v>0.0238556608791969</v>
      </c>
      <c r="L20" s="40" t="n">
        <f aca="false">K20-G20</f>
        <v>8.8832584215541E-005</v>
      </c>
      <c r="M20" s="41"/>
      <c r="N20" s="21"/>
      <c r="O20" s="42" t="str">
        <f aca="false">IF(ISNUMBER(M20),K20*M20,"")</f>
        <v/>
      </c>
      <c r="P20" s="14" t="n">
        <f aca="false">E20/G20</f>
        <v>8752.53514765055</v>
      </c>
    </row>
    <row r="21" customFormat="false" ht="15" hidden="false" customHeight="false" outlineLevel="0" collapsed="false">
      <c r="A21" s="12" t="n">
        <v>16</v>
      </c>
      <c r="B21" s="12" t="s">
        <v>102</v>
      </c>
      <c r="C21" s="12" t="s">
        <v>103</v>
      </c>
      <c r="D21" s="12" t="s">
        <v>30</v>
      </c>
      <c r="E21" s="35" t="n">
        <v>4803.1</v>
      </c>
      <c r="F21" s="36" t="n">
        <v>318698</v>
      </c>
      <c r="G21" s="37" t="n">
        <f aca="false">F21/$F$105</f>
        <v>0.0189286721060833</v>
      </c>
      <c r="H21" s="14" t="n">
        <f aca="false">$C$2*G21</f>
        <v>719289.540031165</v>
      </c>
      <c r="I21" s="38" t="n">
        <f aca="false">ROUNDDOWN(H21/E21,0)</f>
        <v>149</v>
      </c>
      <c r="J21" s="39" t="n">
        <f aca="false">I21*E21</f>
        <v>715661.9</v>
      </c>
      <c r="K21" s="37" t="n">
        <f aca="false">IF($J$105=0,0,J21/$J$105)</f>
        <v>0.0189062097458841</v>
      </c>
      <c r="L21" s="40" t="n">
        <f aca="false">K21-G21</f>
        <v>-2.24623601992428E-005</v>
      </c>
      <c r="M21" s="41"/>
      <c r="N21" s="21"/>
      <c r="O21" s="42" t="str">
        <f aca="false">IF(ISNUMBER(M21),K21*M21,"")</f>
        <v/>
      </c>
      <c r="P21" s="14" t="n">
        <f aca="false">E21/G21</f>
        <v>253747.329610955</v>
      </c>
    </row>
    <row r="22" customFormat="false" ht="15" hidden="false" customHeight="false" outlineLevel="0" collapsed="false">
      <c r="A22" s="12" t="n">
        <v>17</v>
      </c>
      <c r="B22" s="12" t="s">
        <v>104</v>
      </c>
      <c r="C22" s="12" t="s">
        <v>105</v>
      </c>
      <c r="D22" s="12" t="s">
        <v>28</v>
      </c>
      <c r="E22" s="35" t="n">
        <v>400.4</v>
      </c>
      <c r="F22" s="36" t="n">
        <v>258095</v>
      </c>
      <c r="G22" s="37" t="n">
        <f aca="false">F22/$F$105</f>
        <v>0.0153292321483648</v>
      </c>
      <c r="H22" s="14" t="n">
        <f aca="false">$C$2*G22</f>
        <v>582510.821637863</v>
      </c>
      <c r="I22" s="38" t="n">
        <f aca="false">ROUNDDOWN(H22/E22,0)</f>
        <v>1454</v>
      </c>
      <c r="J22" s="39" t="n">
        <f aca="false">I22*E22</f>
        <v>582181.6</v>
      </c>
      <c r="K22" s="37" t="n">
        <f aca="false">IF($J$105=0,0,J22/$J$105)</f>
        <v>0.0153799544726279</v>
      </c>
      <c r="L22" s="40" t="n">
        <f aca="false">K22-G22</f>
        <v>5.07223242630743E-005</v>
      </c>
      <c r="M22" s="41"/>
      <c r="N22" s="21"/>
      <c r="O22" s="42" t="str">
        <f aca="false">IF(ISNUMBER(M22),K22*M22,"")</f>
        <v/>
      </c>
      <c r="P22" s="14" t="n">
        <f aca="false">E22/G22</f>
        <v>26120.0297656599</v>
      </c>
    </row>
    <row r="23" customFormat="false" ht="15" hidden="false" customHeight="false" outlineLevel="0" collapsed="false">
      <c r="A23" s="12" t="n">
        <v>18</v>
      </c>
      <c r="B23" s="12" t="s">
        <v>106</v>
      </c>
      <c r="C23" s="12" t="s">
        <v>107</v>
      </c>
      <c r="D23" s="12" t="s">
        <v>31</v>
      </c>
      <c r="E23" s="35" t="n">
        <v>1447.6</v>
      </c>
      <c r="F23" s="36" t="n">
        <v>271545</v>
      </c>
      <c r="G23" s="37" t="n">
        <f aca="false">F23/$F$105</f>
        <v>0.0161280782027072</v>
      </c>
      <c r="H23" s="14" t="n">
        <f aca="false">$C$2*G23</f>
        <v>612866.971702875</v>
      </c>
      <c r="I23" s="38" t="n">
        <f aca="false">ROUNDDOWN(H23/E23,0)</f>
        <v>423</v>
      </c>
      <c r="J23" s="39" t="n">
        <f aca="false">I23*E23</f>
        <v>612334.8</v>
      </c>
      <c r="K23" s="37" t="n">
        <f aca="false">IF($J$105=0,0,J23/$J$105)</f>
        <v>0.0161765355449325</v>
      </c>
      <c r="L23" s="40" t="n">
        <f aca="false">K23-G23</f>
        <v>4.84573422253123E-005</v>
      </c>
      <c r="M23" s="41"/>
      <c r="N23" s="21"/>
      <c r="O23" s="42" t="str">
        <f aca="false">IF(ISNUMBER(M23),K23*M23,"")</f>
        <v/>
      </c>
      <c r="P23" s="14" t="n">
        <f aca="false">E23/G23</f>
        <v>89756.5092260656</v>
      </c>
    </row>
    <row r="24" customFormat="false" ht="15" hidden="false" customHeight="false" outlineLevel="0" collapsed="false">
      <c r="A24" s="12" t="n">
        <v>19</v>
      </c>
      <c r="B24" s="12" t="s">
        <v>108</v>
      </c>
      <c r="C24" s="12" t="s">
        <v>109</v>
      </c>
      <c r="D24" s="12" t="s">
        <v>34</v>
      </c>
      <c r="E24" s="35" t="n">
        <v>598</v>
      </c>
      <c r="F24" s="36" t="n">
        <v>251237</v>
      </c>
      <c r="G24" s="37" t="n">
        <f aca="false">F24/$F$105</f>
        <v>0.0149219097512882</v>
      </c>
      <c r="H24" s="14" t="n">
        <f aca="false">$C$2*G24</f>
        <v>567032.570548952</v>
      </c>
      <c r="I24" s="38" t="n">
        <f aca="false">ROUNDDOWN(H24/E24,0)</f>
        <v>948</v>
      </c>
      <c r="J24" s="39" t="n">
        <f aca="false">I24*E24</f>
        <v>566904</v>
      </c>
      <c r="K24" s="37" t="n">
        <f aca="false">IF($J$105=0,0,J24/$J$105)</f>
        <v>0.0149763539595732</v>
      </c>
      <c r="L24" s="40" t="n">
        <f aca="false">K24-G24</f>
        <v>5.4444208284956E-005</v>
      </c>
      <c r="M24" s="41"/>
      <c r="N24" s="21"/>
      <c r="O24" s="42" t="str">
        <f aca="false">IF(ISNUMBER(M24),K24*M24,"")</f>
        <v/>
      </c>
      <c r="P24" s="14" t="n">
        <f aca="false">E24/G24</f>
        <v>40075.2993395081</v>
      </c>
    </row>
    <row r="25" customFormat="false" ht="15" hidden="false" customHeight="false" outlineLevel="0" collapsed="false">
      <c r="A25" s="12" t="n">
        <v>20</v>
      </c>
      <c r="B25" s="12" t="s">
        <v>110</v>
      </c>
      <c r="C25" s="12" t="s">
        <v>111</v>
      </c>
      <c r="D25" s="12" t="s">
        <v>34</v>
      </c>
      <c r="E25" s="35" t="n">
        <v>181.85</v>
      </c>
      <c r="F25" s="36" t="n">
        <v>229447</v>
      </c>
      <c r="G25" s="37" t="n">
        <f aca="false">F25/$F$105</f>
        <v>0.0136277197494948</v>
      </c>
      <c r="H25" s="14" t="n">
        <f aca="false">$C$2*G25</f>
        <v>517853.350480803</v>
      </c>
      <c r="I25" s="38" t="n">
        <f aca="false">ROUNDDOWN(H25/E25,0)</f>
        <v>2847</v>
      </c>
      <c r="J25" s="39" t="n">
        <f aca="false">I25*E25</f>
        <v>517726.95</v>
      </c>
      <c r="K25" s="37" t="n">
        <f aca="false">IF($J$105=0,0,J25/$J$105)</f>
        <v>0.0136772047076934</v>
      </c>
      <c r="L25" s="40" t="n">
        <f aca="false">K25-G25</f>
        <v>4.94849581986305E-005</v>
      </c>
      <c r="M25" s="41"/>
      <c r="N25" s="21"/>
      <c r="O25" s="42" t="str">
        <f aca="false">IF(ISNUMBER(M25),K25*M25,"")</f>
        <v/>
      </c>
      <c r="P25" s="14" t="n">
        <f aca="false">E25/G25</f>
        <v>13344.1253080319</v>
      </c>
    </row>
    <row r="26" customFormat="false" ht="15" hidden="false" customHeight="false" outlineLevel="0" collapsed="false">
      <c r="A26" s="12" t="n">
        <v>21</v>
      </c>
      <c r="B26" s="12" t="s">
        <v>112</v>
      </c>
      <c r="C26" s="12" t="s">
        <v>113</v>
      </c>
      <c r="D26" s="12" t="s">
        <v>34</v>
      </c>
      <c r="E26" s="35" t="n">
        <v>1023.7</v>
      </c>
      <c r="F26" s="36" t="n">
        <v>226734</v>
      </c>
      <c r="G26" s="37" t="n">
        <f aca="false">F26/$F$105</f>
        <v>0.0134665844821765</v>
      </c>
      <c r="H26" s="14" t="n">
        <f aca="false">$C$2*G26</f>
        <v>511730.210322708</v>
      </c>
      <c r="I26" s="38" t="n">
        <f aca="false">ROUNDDOWN(H26/E26,0)</f>
        <v>499</v>
      </c>
      <c r="J26" s="39" t="n">
        <f aca="false">I26*E26</f>
        <v>510826.3</v>
      </c>
      <c r="K26" s="37" t="n">
        <f aca="false">IF($J$105=0,0,J26/$J$105)</f>
        <v>0.0134949047469397</v>
      </c>
      <c r="L26" s="40" t="n">
        <f aca="false">K26-G26</f>
        <v>2.83202647631976E-005</v>
      </c>
      <c r="M26" s="41"/>
      <c r="N26" s="21"/>
      <c r="O26" s="42" t="str">
        <f aca="false">IF(ISNUMBER(M26),K26*M26,"")</f>
        <v/>
      </c>
      <c r="P26" s="14" t="n">
        <f aca="false">E26/G26</f>
        <v>76017.7906547055</v>
      </c>
    </row>
    <row r="27" customFormat="false" ht="15" hidden="false" customHeight="false" outlineLevel="0" collapsed="false">
      <c r="A27" s="12" t="n">
        <v>22</v>
      </c>
      <c r="B27" s="12" t="s">
        <v>114</v>
      </c>
      <c r="C27" s="12" t="s">
        <v>115</v>
      </c>
      <c r="D27" s="12" t="s">
        <v>35</v>
      </c>
      <c r="E27" s="35" t="n">
        <v>7961</v>
      </c>
      <c r="F27" s="36" t="n">
        <v>209076</v>
      </c>
      <c r="G27" s="37" t="n">
        <f aca="false">F27/$F$105</f>
        <v>0.0124178094912785</v>
      </c>
      <c r="H27" s="14" t="n">
        <f aca="false">$C$2*G27</f>
        <v>471876.760668583</v>
      </c>
      <c r="I27" s="38" t="n">
        <f aca="false">ROUNDDOWN(H27/E27,0)</f>
        <v>59</v>
      </c>
      <c r="J27" s="39" t="n">
        <f aca="false">I27*E27</f>
        <v>469699</v>
      </c>
      <c r="K27" s="37" t="n">
        <f aca="false">IF($J$105=0,0,J27/$J$105)</f>
        <v>0.0124084121446622</v>
      </c>
      <c r="L27" s="40" t="n">
        <f aca="false">K27-G27</f>
        <v>-9.39734661633065E-006</v>
      </c>
      <c r="M27" s="41"/>
      <c r="N27" s="21"/>
      <c r="O27" s="42" t="str">
        <f aca="false">IF(ISNUMBER(M27),K27*M27,"")</f>
        <v/>
      </c>
      <c r="P27" s="14" t="n">
        <f aca="false">E27/G27</f>
        <v>641095.356277717</v>
      </c>
    </row>
    <row r="28" customFormat="false" ht="15" hidden="false" customHeight="false" outlineLevel="0" collapsed="false">
      <c r="A28" s="12" t="n">
        <v>23</v>
      </c>
      <c r="B28" s="12" t="s">
        <v>116</v>
      </c>
      <c r="C28" s="12" t="s">
        <v>117</v>
      </c>
      <c r="D28" s="12" t="s">
        <v>33</v>
      </c>
      <c r="E28" s="35" t="n">
        <v>1251</v>
      </c>
      <c r="F28" s="36" t="n">
        <v>211487</v>
      </c>
      <c r="G28" s="37" t="n">
        <f aca="false">F28/$F$105</f>
        <v>0.0125610078434733</v>
      </c>
      <c r="H28" s="14" t="n">
        <f aca="false">$C$2*G28</f>
        <v>477318.298051984</v>
      </c>
      <c r="I28" s="38" t="n">
        <f aca="false">ROUNDDOWN(H28/E28,0)</f>
        <v>381</v>
      </c>
      <c r="J28" s="39" t="n">
        <f aca="false">I28*E28</f>
        <v>476631</v>
      </c>
      <c r="K28" s="37" t="n">
        <f aca="false">IF($J$105=0,0,J28/$J$105)</f>
        <v>0.0125915403033059</v>
      </c>
      <c r="L28" s="40" t="n">
        <f aca="false">K28-G28</f>
        <v>3.05324598326284E-005</v>
      </c>
      <c r="M28" s="41"/>
      <c r="N28" s="21"/>
      <c r="O28" s="42" t="str">
        <f aca="false">IF(ISNUMBER(M28),K28*M28,"")</f>
        <v/>
      </c>
      <c r="P28" s="14" t="n">
        <f aca="false">E28/G28</f>
        <v>99593.9191814154</v>
      </c>
    </row>
    <row r="29" customFormat="false" ht="15" hidden="false" customHeight="false" outlineLevel="0" collapsed="false">
      <c r="A29" s="12" t="n">
        <v>24</v>
      </c>
      <c r="B29" s="12" t="s">
        <v>118</v>
      </c>
      <c r="C29" s="12" t="s">
        <v>119</v>
      </c>
      <c r="D29" s="12" t="s">
        <v>34</v>
      </c>
      <c r="E29" s="35" t="n">
        <v>434.55</v>
      </c>
      <c r="F29" s="36" t="n">
        <v>169965</v>
      </c>
      <c r="G29" s="37" t="n">
        <f aca="false">F29/$F$105</f>
        <v>0.0100948601952646</v>
      </c>
      <c r="H29" s="14" t="n">
        <f aca="false">$C$2*G29</f>
        <v>383604.687420056</v>
      </c>
      <c r="I29" s="38" t="n">
        <f aca="false">ROUNDDOWN(H29/E29,0)</f>
        <v>882</v>
      </c>
      <c r="J29" s="39" t="n">
        <f aca="false">I29*E29</f>
        <v>383273.1</v>
      </c>
      <c r="K29" s="37" t="n">
        <f aca="false">IF($J$105=0,0,J29/$J$105)</f>
        <v>0.0101252303895949</v>
      </c>
      <c r="L29" s="40" t="n">
        <f aca="false">K29-G29</f>
        <v>3.03701943302221E-005</v>
      </c>
      <c r="M29" s="41"/>
      <c r="N29" s="21"/>
      <c r="O29" s="42" t="str">
        <f aca="false">IF(ISNUMBER(M29),K29*M29,"")</f>
        <v/>
      </c>
      <c r="P29" s="14" t="n">
        <f aca="false">E29/G29</f>
        <v>43046.6585563851</v>
      </c>
    </row>
    <row r="30" customFormat="false" ht="15" hidden="false" customHeight="false" outlineLevel="0" collapsed="false">
      <c r="A30" s="12" t="n">
        <v>25</v>
      </c>
      <c r="B30" s="12" t="s">
        <v>120</v>
      </c>
      <c r="C30" s="12" t="s">
        <v>121</v>
      </c>
      <c r="D30" s="12" t="s">
        <v>32</v>
      </c>
      <c r="E30" s="35" t="n">
        <v>9197</v>
      </c>
      <c r="F30" s="36" t="n">
        <v>243266</v>
      </c>
      <c r="G30" s="37" t="n">
        <f aca="false">F30/$F$105</f>
        <v>0.0144484821007928</v>
      </c>
      <c r="H30" s="14" t="n">
        <f aca="false">$C$2*G30</f>
        <v>549042.319830126</v>
      </c>
      <c r="I30" s="38" t="n">
        <f aca="false">ROUNDDOWN(H30/E30,0)</f>
        <v>59</v>
      </c>
      <c r="J30" s="39" t="n">
        <f aca="false">I30*E30</f>
        <v>542623</v>
      </c>
      <c r="K30" s="37" t="n">
        <f aca="false">IF($J$105=0,0,J30/$J$105)</f>
        <v>0.014334903466205</v>
      </c>
      <c r="L30" s="40" t="n">
        <f aca="false">K30-G30</f>
        <v>-0.000113578634587806</v>
      </c>
      <c r="M30" s="41"/>
      <c r="N30" s="21"/>
      <c r="O30" s="42" t="str">
        <f aca="false">IF(ISNUMBER(M30),K30*M30,"")</f>
        <v/>
      </c>
      <c r="P30" s="14" t="n">
        <f aca="false">E30/G30</f>
        <v>636537.453266137</v>
      </c>
    </row>
    <row r="31" customFormat="false" ht="15" hidden="false" customHeight="false" outlineLevel="0" collapsed="false">
      <c r="A31" s="12" t="n">
        <v>26</v>
      </c>
      <c r="B31" s="12" t="s">
        <v>122</v>
      </c>
      <c r="C31" s="12" t="s">
        <v>123</v>
      </c>
      <c r="D31" s="12" t="s">
        <v>40</v>
      </c>
      <c r="E31" s="35" t="n">
        <v>237.5</v>
      </c>
      <c r="F31" s="36" t="n">
        <v>157947</v>
      </c>
      <c r="G31" s="37" t="n">
        <f aca="false">F31/$F$105</f>
        <v>0.00938106600336224</v>
      </c>
      <c r="H31" s="14" t="n">
        <f aca="false">$C$2*G31</f>
        <v>356480.508127765</v>
      </c>
      <c r="I31" s="38" t="n">
        <f aca="false">ROUNDDOWN(H31/E31,0)</f>
        <v>1500</v>
      </c>
      <c r="J31" s="39" t="n">
        <f aca="false">I31*E31</f>
        <v>356250</v>
      </c>
      <c r="K31" s="37" t="n">
        <f aca="false">IF($J$105=0,0,J31/$J$105)</f>
        <v>0.00941133965909209</v>
      </c>
      <c r="L31" s="40" t="n">
        <f aca="false">K31-G31</f>
        <v>3.02736557298462E-005</v>
      </c>
      <c r="M31" s="41"/>
      <c r="N31" s="21"/>
      <c r="O31" s="42" t="str">
        <f aca="false">IF(ISNUMBER(M31),K31*M31,"")</f>
        <v/>
      </c>
      <c r="P31" s="14" t="n">
        <f aca="false">E31/G31</f>
        <v>25316.9522434741</v>
      </c>
    </row>
    <row r="32" customFormat="false" ht="15" hidden="false" customHeight="false" outlineLevel="0" collapsed="false">
      <c r="A32" s="12" t="n">
        <v>27</v>
      </c>
      <c r="B32" s="12" t="s">
        <v>124</v>
      </c>
      <c r="C32" s="12" t="s">
        <v>125</v>
      </c>
      <c r="D32" s="12" t="s">
        <v>35</v>
      </c>
      <c r="E32" s="35" t="n">
        <v>472.3</v>
      </c>
      <c r="F32" s="36" t="n">
        <v>172853</v>
      </c>
      <c r="G32" s="37" t="n">
        <f aca="false">F32/$F$105</f>
        <v>0.0102663893703532</v>
      </c>
      <c r="H32" s="14" t="n">
        <f aca="false">$C$2*G32</f>
        <v>390122.796073421</v>
      </c>
      <c r="I32" s="38" t="n">
        <f aca="false">ROUNDDOWN(H32/E32,0)</f>
        <v>826</v>
      </c>
      <c r="J32" s="39" t="n">
        <f aca="false">I32*E32</f>
        <v>390119.8</v>
      </c>
      <c r="K32" s="37" t="n">
        <f aca="false">IF($J$105=0,0,J32/$J$105)</f>
        <v>0.0103061051102795</v>
      </c>
      <c r="L32" s="40" t="n">
        <f aca="false">K32-G32</f>
        <v>3.9715739926326E-005</v>
      </c>
      <c r="M32" s="41"/>
      <c r="N32" s="21"/>
      <c r="O32" s="42" t="str">
        <f aca="false">IF(ISNUMBER(M32),K32*M32,"")</f>
        <v/>
      </c>
      <c r="P32" s="14" t="n">
        <f aca="false">E32/G32</f>
        <v>46004.4893060346</v>
      </c>
    </row>
    <row r="33" customFormat="false" ht="15" hidden="false" customHeight="false" outlineLevel="0" collapsed="false">
      <c r="A33" s="12" t="n">
        <v>28</v>
      </c>
      <c r="B33" s="12" t="s">
        <v>126</v>
      </c>
      <c r="C33" s="12" t="s">
        <v>127</v>
      </c>
      <c r="D33" s="12" t="s">
        <v>36</v>
      </c>
      <c r="E33" s="35" t="n">
        <v>3061.5</v>
      </c>
      <c r="F33" s="36" t="n">
        <v>147319</v>
      </c>
      <c r="G33" s="37" t="n">
        <f aca="false">F33/$F$105</f>
        <v>0.00874982913603501</v>
      </c>
      <c r="H33" s="14" t="n">
        <f aca="false">$C$2*G33</f>
        <v>332493.50716933</v>
      </c>
      <c r="I33" s="38" t="n">
        <f aca="false">ROUNDDOWN(H33/E33,0)</f>
        <v>108</v>
      </c>
      <c r="J33" s="39" t="n">
        <f aca="false">I33*E33</f>
        <v>330642</v>
      </c>
      <c r="K33" s="37" t="n">
        <f aca="false">IF($J$105=0,0,J33/$J$105)</f>
        <v>0.0087348327510499</v>
      </c>
      <c r="L33" s="40" t="n">
        <f aca="false">K33-G33</f>
        <v>-1.49963849851147E-005</v>
      </c>
      <c r="M33" s="41"/>
      <c r="N33" s="21"/>
      <c r="O33" s="42" t="str">
        <f aca="false">IF(ISNUMBER(M33),K33*M33,"")</f>
        <v/>
      </c>
      <c r="P33" s="14" t="n">
        <f aca="false">E33/G33</f>
        <v>349892.546746041</v>
      </c>
    </row>
    <row r="34" customFormat="false" ht="15" hidden="false" customHeight="false" outlineLevel="0" collapsed="false">
      <c r="A34" s="12" t="n">
        <v>29</v>
      </c>
      <c r="B34" s="12" t="s">
        <v>128</v>
      </c>
      <c r="C34" s="12" t="s">
        <v>129</v>
      </c>
      <c r="D34" s="12" t="s">
        <v>39</v>
      </c>
      <c r="E34" s="35" t="n">
        <v>1640</v>
      </c>
      <c r="F34" s="36" t="n">
        <v>165808</v>
      </c>
      <c r="G34" s="37" t="n">
        <f aca="false">F34/$F$105</f>
        <v>0.00984796034040207</v>
      </c>
      <c r="H34" s="14" t="n">
        <f aca="false">$C$2*G34</f>
        <v>374222.492935279</v>
      </c>
      <c r="I34" s="38" t="n">
        <f aca="false">ROUNDDOWN(H34/E34,0)</f>
        <v>228</v>
      </c>
      <c r="J34" s="39" t="n">
        <f aca="false">I34*E34</f>
        <v>373920</v>
      </c>
      <c r="K34" s="37" t="n">
        <f aca="false">IF($J$105=0,0,J34/$J$105)</f>
        <v>0.00987814210618305</v>
      </c>
      <c r="L34" s="40" t="n">
        <f aca="false">K34-G34</f>
        <v>3.01817657809809E-005</v>
      </c>
      <c r="M34" s="41"/>
      <c r="N34" s="21"/>
      <c r="O34" s="42" t="str">
        <f aca="false">IF(ISNUMBER(M34),K34*M34,"")</f>
        <v/>
      </c>
      <c r="P34" s="14" t="n">
        <f aca="false">E34/G34</f>
        <v>166531.946038792</v>
      </c>
    </row>
    <row r="35" customFormat="false" ht="15" hidden="false" customHeight="false" outlineLevel="0" collapsed="false">
      <c r="A35" s="12" t="n">
        <v>30</v>
      </c>
      <c r="B35" s="12" t="s">
        <v>130</v>
      </c>
      <c r="C35" s="12" t="s">
        <v>131</v>
      </c>
      <c r="D35" s="12" t="s">
        <v>29</v>
      </c>
      <c r="E35" s="35" t="n">
        <v>1620</v>
      </c>
      <c r="F35" s="36" t="n">
        <v>157243</v>
      </c>
      <c r="G35" s="37" t="n">
        <f aca="false">F35/$F$105</f>
        <v>0.00933925279724647</v>
      </c>
      <c r="H35" s="14" t="n">
        <f aca="false">$C$2*G35</f>
        <v>354891.606295366</v>
      </c>
      <c r="I35" s="38" t="n">
        <f aca="false">ROUNDDOWN(H35/E35,0)</f>
        <v>219</v>
      </c>
      <c r="J35" s="39" t="n">
        <f aca="false">I35*E35</f>
        <v>354780</v>
      </c>
      <c r="K35" s="37" t="n">
        <f aca="false">IF($J$105=0,0,J35/$J$105)</f>
        <v>0.00937250549965668</v>
      </c>
      <c r="L35" s="40" t="n">
        <f aca="false">K35-G35</f>
        <v>3.32527024102022E-005</v>
      </c>
      <c r="M35" s="41"/>
      <c r="N35" s="21"/>
      <c r="O35" s="42" t="str">
        <f aca="false">IF(ISNUMBER(M35),K35*M35,"")</f>
        <v/>
      </c>
      <c r="P35" s="14" t="n">
        <f aca="false">E35/G35</f>
        <v>173461.414437527</v>
      </c>
    </row>
    <row r="36" customFormat="false" ht="15" hidden="false" customHeight="false" outlineLevel="0" collapsed="false">
      <c r="A36" s="12" t="n">
        <v>31</v>
      </c>
      <c r="B36" s="12" t="s">
        <v>132</v>
      </c>
      <c r="C36" s="12" t="s">
        <v>133</v>
      </c>
      <c r="D36" s="12" t="s">
        <v>32</v>
      </c>
      <c r="E36" s="35" t="n">
        <v>4900.5</v>
      </c>
      <c r="F36" s="36" t="n">
        <v>186380</v>
      </c>
      <c r="G36" s="37" t="n">
        <f aca="false">F36/$F$105</f>
        <v>0.0110698087441145</v>
      </c>
      <c r="H36" s="14" t="n">
        <f aca="false">$C$2*G36</f>
        <v>420652.732276351</v>
      </c>
      <c r="I36" s="38" t="n">
        <f aca="false">ROUNDDOWN(H36/E36,0)</f>
        <v>85</v>
      </c>
      <c r="J36" s="39" t="n">
        <f aca="false">I36*E36</f>
        <v>416542.5</v>
      </c>
      <c r="K36" s="37" t="n">
        <f aca="false">IF($J$105=0,0,J36/$J$105)</f>
        <v>0.0110041345963435</v>
      </c>
      <c r="L36" s="40" t="n">
        <f aca="false">K36-G36</f>
        <v>-6.56741477710263E-005</v>
      </c>
      <c r="M36" s="41"/>
      <c r="N36" s="21"/>
      <c r="O36" s="42" t="str">
        <f aca="false">IF(ISNUMBER(M36),K36*M36,"")</f>
        <v/>
      </c>
      <c r="P36" s="14" t="n">
        <f aca="false">E36/G36</f>
        <v>442690.57517416</v>
      </c>
    </row>
    <row r="37" customFormat="false" ht="15" hidden="false" customHeight="false" outlineLevel="0" collapsed="false">
      <c r="A37" s="12" t="n">
        <v>32</v>
      </c>
      <c r="B37" s="12" t="s">
        <v>134</v>
      </c>
      <c r="C37" s="12" t="s">
        <v>135</v>
      </c>
      <c r="D37" s="12" t="s">
        <v>33</v>
      </c>
      <c r="E37" s="35" t="n">
        <v>1470</v>
      </c>
      <c r="F37" s="36" t="n">
        <v>170455</v>
      </c>
      <c r="G37" s="37" t="n">
        <f aca="false">F37/$F$105</f>
        <v>0.0101239631370213</v>
      </c>
      <c r="H37" s="14" t="n">
        <f aca="false">$C$2*G37</f>
        <v>384710.599206811</v>
      </c>
      <c r="I37" s="38" t="n">
        <f aca="false">ROUNDDOWN(H37/E37,0)</f>
        <v>261</v>
      </c>
      <c r="J37" s="39" t="n">
        <f aca="false">I37*E37</f>
        <v>383670</v>
      </c>
      <c r="K37" s="37" t="n">
        <f aca="false">IF($J$105=0,0,J37/$J$105)</f>
        <v>0.0101357156126424</v>
      </c>
      <c r="L37" s="40" t="n">
        <f aca="false">K37-G37</f>
        <v>1.17524756210706E-005</v>
      </c>
      <c r="M37" s="41"/>
      <c r="N37" s="21"/>
      <c r="O37" s="42" t="str">
        <f aca="false">IF(ISNUMBER(M37),K37*M37,"")</f>
        <v/>
      </c>
      <c r="P37" s="14" t="n">
        <f aca="false">E37/G37</f>
        <v>145200.054573934</v>
      </c>
    </row>
    <row r="38" customFormat="false" ht="15" hidden="false" customHeight="false" outlineLevel="0" collapsed="false">
      <c r="A38" s="12" t="n">
        <v>33</v>
      </c>
      <c r="B38" s="12" t="s">
        <v>136</v>
      </c>
      <c r="C38" s="12" t="s">
        <v>136</v>
      </c>
      <c r="D38" s="12" t="s">
        <v>29</v>
      </c>
      <c r="E38" s="35" t="n">
        <v>4518</v>
      </c>
      <c r="F38" s="36" t="n">
        <v>136530</v>
      </c>
      <c r="G38" s="37" t="n">
        <f aca="false">F38/$F$105</f>
        <v>0.00810902987355915</v>
      </c>
      <c r="H38" s="14" t="n">
        <f aca="false">$C$2*G38</f>
        <v>308143.135195248</v>
      </c>
      <c r="I38" s="38" t="n">
        <f aca="false">ROUNDDOWN(H38/E38,0)</f>
        <v>68</v>
      </c>
      <c r="J38" s="39" t="n">
        <f aca="false">I38*E38</f>
        <v>307224</v>
      </c>
      <c r="K38" s="37" t="n">
        <f aca="false">IF($J$105=0,0,J38/$J$105)</f>
        <v>0.00811618081522781</v>
      </c>
      <c r="L38" s="40" t="n">
        <f aca="false">K38-G38</f>
        <v>7.15094166866236E-006</v>
      </c>
      <c r="M38" s="41"/>
      <c r="N38" s="21"/>
      <c r="O38" s="42" t="str">
        <f aca="false">IF(ISNUMBER(M38),K38*M38,"")</f>
        <v/>
      </c>
      <c r="P38" s="14" t="n">
        <f aca="false">E38/G38</f>
        <v>557156.659976269</v>
      </c>
    </row>
    <row r="39" customFormat="false" ht="15" hidden="false" customHeight="false" outlineLevel="0" collapsed="false">
      <c r="A39" s="12" t="n">
        <v>34</v>
      </c>
      <c r="B39" s="12" t="s">
        <v>137</v>
      </c>
      <c r="C39" s="12" t="s">
        <v>138</v>
      </c>
      <c r="D39" s="12" t="s">
        <v>31</v>
      </c>
      <c r="E39" s="35" t="n">
        <v>5250</v>
      </c>
      <c r="F39" s="36" t="n">
        <v>123252</v>
      </c>
      <c r="G39" s="37" t="n">
        <f aca="false">F39/$F$105</f>
        <v>0.00732039954571092</v>
      </c>
      <c r="H39" s="14" t="n">
        <f aca="false">$C$2*G39</f>
        <v>278175.182737015</v>
      </c>
      <c r="I39" s="38" t="n">
        <f aca="false">ROUNDDOWN(H39/E39,0)</f>
        <v>52</v>
      </c>
      <c r="J39" s="39" t="n">
        <f aca="false">I39*E39</f>
        <v>273000</v>
      </c>
      <c r="K39" s="37" t="n">
        <f aca="false">IF($J$105=0,0,J39/$J$105)</f>
        <v>0.00721205818086215</v>
      </c>
      <c r="L39" s="40" t="n">
        <f aca="false">K39-G39</f>
        <v>-0.000108341364848774</v>
      </c>
      <c r="M39" s="41"/>
      <c r="N39" s="21"/>
      <c r="O39" s="42" t="str">
        <f aca="false">IF(ISNUMBER(M39),K39*M39,"")</f>
        <v/>
      </c>
      <c r="P39" s="14" t="n">
        <f aca="false">E39/G39</f>
        <v>717173.969428488</v>
      </c>
    </row>
    <row r="40" customFormat="false" ht="15" hidden="false" customHeight="false" outlineLevel="0" collapsed="false">
      <c r="A40" s="12" t="n">
        <v>35</v>
      </c>
      <c r="B40" s="12" t="s">
        <v>139</v>
      </c>
      <c r="C40" s="12" t="s">
        <v>140</v>
      </c>
      <c r="D40" s="12" t="s">
        <v>30</v>
      </c>
      <c r="E40" s="35" t="n">
        <v>5105</v>
      </c>
      <c r="F40" s="36" t="n">
        <v>140332</v>
      </c>
      <c r="G40" s="37" t="n">
        <f aca="false">F40/$F$105</f>
        <v>0.00833484494408776</v>
      </c>
      <c r="H40" s="14" t="n">
        <f aca="false">$C$2*G40</f>
        <v>316724.107875335</v>
      </c>
      <c r="I40" s="38" t="n">
        <f aca="false">ROUNDDOWN(H40/E40,0)</f>
        <v>62</v>
      </c>
      <c r="J40" s="39" t="n">
        <f aca="false">I40*E40</f>
        <v>316510</v>
      </c>
      <c r="K40" s="37" t="n">
        <f aca="false">IF($J$105=0,0,J40/$J$105)</f>
        <v>0.00836149646455926</v>
      </c>
      <c r="L40" s="40" t="n">
        <f aca="false">K40-G40</f>
        <v>2.66515204714966E-005</v>
      </c>
      <c r="M40" s="41"/>
      <c r="N40" s="21"/>
      <c r="O40" s="42" t="str">
        <f aca="false">IF(ISNUMBER(M40),K40*M40,"")</f>
        <v/>
      </c>
      <c r="P40" s="14" t="n">
        <f aca="false">E40/G40</f>
        <v>612488.898623265</v>
      </c>
    </row>
    <row r="41" customFormat="false" ht="15" hidden="false" customHeight="false" outlineLevel="0" collapsed="false">
      <c r="A41" s="12" t="n">
        <v>36</v>
      </c>
      <c r="B41" s="12" t="s">
        <v>141</v>
      </c>
      <c r="C41" s="12" t="s">
        <v>142</v>
      </c>
      <c r="D41" s="12" t="s">
        <v>36</v>
      </c>
      <c r="E41" s="35" t="n">
        <v>3282</v>
      </c>
      <c r="F41" s="36" t="n">
        <v>141409</v>
      </c>
      <c r="G41" s="37" t="n">
        <f aca="false">F41/$F$105</f>
        <v>0.00839881202219384</v>
      </c>
      <c r="H41" s="14" t="n">
        <f aca="false">$C$2*G41</f>
        <v>319154.856843366</v>
      </c>
      <c r="I41" s="38" t="n">
        <f aca="false">ROUNDDOWN(H41/E41,0)</f>
        <v>97</v>
      </c>
      <c r="J41" s="39" t="n">
        <f aca="false">I41*E41</f>
        <v>318354</v>
      </c>
      <c r="K41" s="37" t="n">
        <f aca="false">IF($J$105=0,0,J41/$J$105)</f>
        <v>0.0084102108795245</v>
      </c>
      <c r="L41" s="40" t="n">
        <f aca="false">K41-G41</f>
        <v>1.13988573306537E-005</v>
      </c>
      <c r="M41" s="41"/>
      <c r="N41" s="21"/>
      <c r="O41" s="42" t="str">
        <f aca="false">IF(ISNUMBER(M41),K41*M41,"")</f>
        <v/>
      </c>
      <c r="P41" s="14" t="n">
        <f aca="false">E41/G41</f>
        <v>390769.550661132</v>
      </c>
    </row>
    <row r="42" customFormat="false" ht="15" hidden="false" customHeight="false" outlineLevel="0" collapsed="false">
      <c r="A42" s="12" t="n">
        <v>37</v>
      </c>
      <c r="B42" s="12" t="s">
        <v>143</v>
      </c>
      <c r="C42" s="12" t="s">
        <v>144</v>
      </c>
      <c r="D42" s="12" t="s">
        <v>33</v>
      </c>
      <c r="E42" s="35" t="n">
        <v>347</v>
      </c>
      <c r="F42" s="36" t="n">
        <v>116726</v>
      </c>
      <c r="G42" s="37" t="n">
        <f aca="false">F42/$F$105</f>
        <v>0.00693279587651846</v>
      </c>
      <c r="H42" s="14" t="n">
        <f aca="false">$C$2*G42</f>
        <v>263446.243307701</v>
      </c>
      <c r="I42" s="38" t="n">
        <f aca="false">ROUNDDOWN(H42/E42,0)</f>
        <v>759</v>
      </c>
      <c r="J42" s="39" t="n">
        <f aca="false">I42*E42</f>
        <v>263373</v>
      </c>
      <c r="K42" s="37" t="n">
        <f aca="false">IF($J$105=0,0,J42/$J$105)</f>
        <v>0.0069577340632535</v>
      </c>
      <c r="L42" s="40" t="n">
        <f aca="false">K42-G42</f>
        <v>2.49381867350445E-005</v>
      </c>
      <c r="M42" s="41"/>
      <c r="N42" s="21"/>
      <c r="O42" s="42" t="str">
        <f aca="false">IF(ISNUMBER(M42),K42*M42,"")</f>
        <v/>
      </c>
      <c r="P42" s="14" t="n">
        <f aca="false">E42/G42</f>
        <v>50051.9568411494</v>
      </c>
    </row>
    <row r="43" customFormat="false" ht="15" hidden="false" customHeight="false" outlineLevel="0" collapsed="false">
      <c r="A43" s="12" t="n">
        <v>38</v>
      </c>
      <c r="B43" s="12" t="s">
        <v>145</v>
      </c>
      <c r="C43" s="12" t="s">
        <v>146</v>
      </c>
      <c r="D43" s="12" t="s">
        <v>30</v>
      </c>
      <c r="E43" s="35" t="n">
        <v>916</v>
      </c>
      <c r="F43" s="36" t="n">
        <v>140743</v>
      </c>
      <c r="G43" s="37" t="n">
        <f aca="false">F43/$F$105</f>
        <v>0.00835925577890819</v>
      </c>
      <c r="H43" s="14" t="n">
        <f aca="false">$C$2*G43</f>
        <v>317651.719598511</v>
      </c>
      <c r="I43" s="38" t="n">
        <f aca="false">ROUNDDOWN(H43/E43,0)</f>
        <v>346</v>
      </c>
      <c r="J43" s="39" t="n">
        <f aca="false">I43*E43</f>
        <v>316936</v>
      </c>
      <c r="K43" s="37" t="n">
        <f aca="false">IF($J$105=0,0,J43/$J$105)</f>
        <v>0.00837275044545687</v>
      </c>
      <c r="L43" s="40" t="n">
        <f aca="false">K43-G43</f>
        <v>1.34946665486801E-005</v>
      </c>
      <c r="M43" s="41"/>
      <c r="N43" s="21"/>
      <c r="O43" s="42" t="str">
        <f aca="false">IF(ISNUMBER(M43),K43*M43,"")</f>
        <v/>
      </c>
      <c r="P43" s="14" t="n">
        <f aca="false">E43/G43</f>
        <v>109579.13290693</v>
      </c>
    </row>
    <row r="44" customFormat="false" ht="15" hidden="false" customHeight="false" outlineLevel="0" collapsed="false">
      <c r="A44" s="12" t="n">
        <v>39</v>
      </c>
      <c r="B44" s="12" t="s">
        <v>147</v>
      </c>
      <c r="C44" s="12" t="s">
        <v>148</v>
      </c>
      <c r="D44" s="12" t="s">
        <v>37</v>
      </c>
      <c r="E44" s="35" t="n">
        <v>401.15</v>
      </c>
      <c r="F44" s="36" t="n">
        <v>100635</v>
      </c>
      <c r="G44" s="37" t="n">
        <f aca="false">F44/$F$105</f>
        <v>0.00597709090548323</v>
      </c>
      <c r="H44" s="14" t="n">
        <f aca="false">$C$2*G44</f>
        <v>227129.454408363</v>
      </c>
      <c r="I44" s="38" t="n">
        <f aca="false">ROUNDDOWN(H44/E44,0)</f>
        <v>566</v>
      </c>
      <c r="J44" s="39" t="n">
        <f aca="false">I44*E44</f>
        <v>227050.9</v>
      </c>
      <c r="K44" s="37" t="n">
        <f aca="false">IF($J$105=0,0,J44/$J$105)</f>
        <v>0.00599818425207734</v>
      </c>
      <c r="L44" s="40" t="n">
        <f aca="false">K44-G44</f>
        <v>2.10933465941117E-005</v>
      </c>
      <c r="M44" s="41"/>
      <c r="N44" s="21"/>
      <c r="O44" s="42" t="str">
        <f aca="false">IF(ISNUMBER(M44),K44*M44,"")</f>
        <v/>
      </c>
      <c r="P44" s="14" t="n">
        <f aca="false">E44/G44</f>
        <v>67114.5890774383</v>
      </c>
    </row>
    <row r="45" customFormat="false" ht="15" hidden="false" customHeight="false" outlineLevel="0" collapsed="false">
      <c r="A45" s="12" t="n">
        <v>40</v>
      </c>
      <c r="B45" s="12" t="s">
        <v>149</v>
      </c>
      <c r="C45" s="12" t="s">
        <v>150</v>
      </c>
      <c r="D45" s="12" t="s">
        <v>32</v>
      </c>
      <c r="E45" s="35" t="n">
        <v>8789</v>
      </c>
      <c r="F45" s="36" t="n">
        <v>125264</v>
      </c>
      <c r="G45" s="37" t="n">
        <f aca="false">F45/$F$105</f>
        <v>0.0074398997881895</v>
      </c>
      <c r="H45" s="14" t="n">
        <f aca="false">$C$2*G45</f>
        <v>282716.191951201</v>
      </c>
      <c r="I45" s="38" t="n">
        <f aca="false">ROUNDDOWN(H45/E45,0)</f>
        <v>32</v>
      </c>
      <c r="J45" s="39" t="n">
        <f aca="false">I45*E45</f>
        <v>281248</v>
      </c>
      <c r="K45" s="37" t="n">
        <f aca="false">IF($J$105=0,0,J45/$J$105)</f>
        <v>0.007429952158429</v>
      </c>
      <c r="L45" s="40" t="n">
        <f aca="false">K45-G45</f>
        <v>-9.9476297605039E-006</v>
      </c>
      <c r="M45" s="41"/>
      <c r="N45" s="21"/>
      <c r="O45" s="42" t="str">
        <f aca="false">IF(ISNUMBER(M45),K45*M45,"")</f>
        <v/>
      </c>
      <c r="P45" s="14" t="n">
        <f aca="false">E45/G45</f>
        <v>1181333.11606591</v>
      </c>
    </row>
    <row r="46" customFormat="false" ht="15" hidden="false" customHeight="false" outlineLevel="0" collapsed="false">
      <c r="A46" s="12" t="n">
        <v>41</v>
      </c>
      <c r="B46" s="12" t="s">
        <v>151</v>
      </c>
      <c r="C46" s="12" t="s">
        <v>152</v>
      </c>
      <c r="D46" s="12" t="s">
        <v>30</v>
      </c>
      <c r="E46" s="35" t="n">
        <v>430.2</v>
      </c>
      <c r="F46" s="36" t="n">
        <v>151418</v>
      </c>
      <c r="G46" s="37" t="n">
        <f aca="false">F46/$F$105</f>
        <v>0.00899328415289371</v>
      </c>
      <c r="H46" s="14" t="n">
        <f aca="false">$C$2*G46</f>
        <v>341744.797809961</v>
      </c>
      <c r="I46" s="38" t="n">
        <f aca="false">ROUNDDOWN(H46/E46,0)</f>
        <v>794</v>
      </c>
      <c r="J46" s="39" t="n">
        <f aca="false">I46*E46</f>
        <v>341578.8</v>
      </c>
      <c r="K46" s="37" t="n">
        <f aca="false">IF($J$105=0,0,J46/$J$105)</f>
        <v>0.00902375889724936</v>
      </c>
      <c r="L46" s="40" t="n">
        <f aca="false">K46-G46</f>
        <v>3.04747443556439E-005</v>
      </c>
      <c r="M46" s="41"/>
      <c r="N46" s="21"/>
      <c r="O46" s="42" t="str">
        <f aca="false">IF(ISNUMBER(M46),K46*M46,"")</f>
        <v/>
      </c>
      <c r="P46" s="14" t="n">
        <f aca="false">E46/G46</f>
        <v>47835.6952461662</v>
      </c>
    </row>
    <row r="47" customFormat="false" ht="15" hidden="false" customHeight="false" outlineLevel="0" collapsed="false">
      <c r="A47" s="12" t="n">
        <v>42</v>
      </c>
      <c r="B47" s="12" t="s">
        <v>153</v>
      </c>
      <c r="C47" s="12" t="s">
        <v>154</v>
      </c>
      <c r="D47" s="12" t="s">
        <v>32</v>
      </c>
      <c r="E47" s="35" t="n">
        <v>1413.5</v>
      </c>
      <c r="F47" s="36" t="n">
        <v>111291</v>
      </c>
      <c r="G47" s="37" t="n">
        <f aca="false">F47/$F$105</f>
        <v>0.0066099907980537</v>
      </c>
      <c r="H47" s="14" t="n">
        <f aca="false">$C$2*G47</f>
        <v>251179.65032604</v>
      </c>
      <c r="I47" s="38" t="n">
        <f aca="false">ROUNDDOWN(H47/E47,0)</f>
        <v>177</v>
      </c>
      <c r="J47" s="39" t="n">
        <f aca="false">I47*E47</f>
        <v>250189.5</v>
      </c>
      <c r="K47" s="37" t="n">
        <f aca="false">IF($J$105=0,0,J47/$J$105)</f>
        <v>0.00660945505582714</v>
      </c>
      <c r="L47" s="40" t="n">
        <f aca="false">K47-G47</f>
        <v>-5.35742226552213E-007</v>
      </c>
      <c r="M47" s="41"/>
      <c r="N47" s="21"/>
      <c r="O47" s="42" t="str">
        <f aca="false">IF(ISNUMBER(M47),K47*M47,"")</f>
        <v/>
      </c>
      <c r="P47" s="14" t="n">
        <f aca="false">E47/G47</f>
        <v>213842.960328508</v>
      </c>
    </row>
    <row r="48" customFormat="false" ht="15" hidden="false" customHeight="false" outlineLevel="0" collapsed="false">
      <c r="A48" s="12" t="n">
        <v>43</v>
      </c>
      <c r="B48" s="12" t="s">
        <v>155</v>
      </c>
      <c r="C48" s="12" t="s">
        <v>156</v>
      </c>
      <c r="D48" s="12" t="s">
        <v>32</v>
      </c>
      <c r="E48" s="35" t="n">
        <v>1029.9</v>
      </c>
      <c r="F48" s="36" t="n">
        <v>96731</v>
      </c>
      <c r="G48" s="37" t="n">
        <f aca="false">F48/$F$105</f>
        <v>0.00574521767156852</v>
      </c>
      <c r="H48" s="14" t="n">
        <f aca="false">$C$2*G48</f>
        <v>218318.271519604</v>
      </c>
      <c r="I48" s="38" t="n">
        <f aca="false">ROUNDDOWN(H48/E48,0)</f>
        <v>211</v>
      </c>
      <c r="J48" s="39" t="n">
        <f aca="false">I48*E48</f>
        <v>217308.9</v>
      </c>
      <c r="K48" s="37" t="n">
        <f aca="false">IF($J$105=0,0,J48/$J$105)</f>
        <v>0.00574082208798225</v>
      </c>
      <c r="L48" s="40" t="n">
        <f aca="false">K48-G48</f>
        <v>-4.39558358626864E-006</v>
      </c>
      <c r="M48" s="41"/>
      <c r="N48" s="21"/>
      <c r="O48" s="42" t="str">
        <f aca="false">IF(ISNUMBER(M48),K48*M48,"")</f>
        <v/>
      </c>
      <c r="P48" s="14" t="n">
        <f aca="false">E48/G48</f>
        <v>179262.137463771</v>
      </c>
    </row>
    <row r="49" customFormat="false" ht="15" hidden="false" customHeight="false" outlineLevel="0" collapsed="false">
      <c r="A49" s="12" t="n">
        <v>44</v>
      </c>
      <c r="B49" s="12" t="s">
        <v>157</v>
      </c>
      <c r="C49" s="12" t="s">
        <v>158</v>
      </c>
      <c r="D49" s="12" t="s">
        <v>35</v>
      </c>
      <c r="E49" s="35" t="n">
        <v>170</v>
      </c>
      <c r="F49" s="36" t="n">
        <v>100032</v>
      </c>
      <c r="G49" s="37" t="n">
        <f aca="false">F49/$F$105</f>
        <v>0.00594127646899486</v>
      </c>
      <c r="H49" s="14" t="n">
        <f aca="false">$C$2*G49</f>
        <v>225768.505821805</v>
      </c>
      <c r="I49" s="38" t="n">
        <f aca="false">ROUNDDOWN(H49/E49,0)</f>
        <v>1328</v>
      </c>
      <c r="J49" s="39" t="n">
        <f aca="false">I49*E49</f>
        <v>225760</v>
      </c>
      <c r="K49" s="37" t="n">
        <f aca="false">IF($J$105=0,0,J49/$J$105)</f>
        <v>0.00596408151982212</v>
      </c>
      <c r="L49" s="40" t="n">
        <f aca="false">K49-G49</f>
        <v>2.28050508272555E-005</v>
      </c>
      <c r="M49" s="41"/>
      <c r="N49" s="21"/>
      <c r="O49" s="42" t="str">
        <f aca="false">IF(ISNUMBER(M49),K49*M49,"")</f>
        <v/>
      </c>
      <c r="P49" s="14" t="n">
        <f aca="false">E49/G49</f>
        <v>28613.3797824696</v>
      </c>
    </row>
    <row r="50" customFormat="false" ht="15" hidden="false" customHeight="false" outlineLevel="0" collapsed="false">
      <c r="A50" s="12" t="n">
        <v>45</v>
      </c>
      <c r="B50" s="12" t="s">
        <v>159</v>
      </c>
      <c r="C50" s="12" t="s">
        <v>160</v>
      </c>
      <c r="D50" s="12" t="s">
        <v>31</v>
      </c>
      <c r="E50" s="35" t="n">
        <v>837.9</v>
      </c>
      <c r="F50" s="36" t="n">
        <v>106338</v>
      </c>
      <c r="G50" s="37" t="n">
        <f aca="false">F50/$F$105</f>
        <v>0.00631581351127615</v>
      </c>
      <c r="H50" s="14" t="n">
        <f aca="false">$C$2*G50</f>
        <v>240000.913428494</v>
      </c>
      <c r="I50" s="38" t="n">
        <f aca="false">ROUNDDOWN(H50/E50,0)</f>
        <v>286</v>
      </c>
      <c r="J50" s="39" t="n">
        <f aca="false">I50*E50</f>
        <v>239639.4</v>
      </c>
      <c r="K50" s="37" t="n">
        <f aca="false">IF($J$105=0,0,J50/$J$105)</f>
        <v>0.00633074467116079</v>
      </c>
      <c r="L50" s="40" t="n">
        <f aca="false">K50-G50</f>
        <v>1.4931159884643E-005</v>
      </c>
      <c r="M50" s="41"/>
      <c r="N50" s="21"/>
      <c r="O50" s="42" t="str">
        <f aca="false">IF(ISNUMBER(M50),K50*M50,"")</f>
        <v/>
      </c>
      <c r="P50" s="14" t="n">
        <f aca="false">E50/G50</f>
        <v>132666.995075777</v>
      </c>
    </row>
    <row r="51" customFormat="false" ht="15" hidden="false" customHeight="false" outlineLevel="0" collapsed="false">
      <c r="A51" s="12" t="n">
        <v>46</v>
      </c>
      <c r="B51" s="12" t="s">
        <v>161</v>
      </c>
      <c r="C51" s="12" t="s">
        <v>162</v>
      </c>
      <c r="D51" s="12" t="s">
        <v>30</v>
      </c>
      <c r="E51" s="35" t="n">
        <v>2476</v>
      </c>
      <c r="F51" s="36" t="n">
        <v>100730</v>
      </c>
      <c r="G51" s="37" t="n">
        <f aca="false">F51/$F$105</f>
        <v>0.00598273331255851</v>
      </c>
      <c r="H51" s="14" t="n">
        <f aca="false">$C$2*G51</f>
        <v>227343.865877223</v>
      </c>
      <c r="I51" s="38" t="n">
        <f aca="false">ROUNDDOWN(H51/E51,0)</f>
        <v>91</v>
      </c>
      <c r="J51" s="39" t="n">
        <f aca="false">I51*E51</f>
        <v>225316</v>
      </c>
      <c r="K51" s="37" t="n">
        <f aca="false">IF($J$105=0,0,J51/$J$105)</f>
        <v>0.00595235201860489</v>
      </c>
      <c r="L51" s="40" t="n">
        <f aca="false">K51-G51</f>
        <v>-3.03812939536144E-005</v>
      </c>
      <c r="M51" s="41"/>
      <c r="N51" s="21"/>
      <c r="O51" s="42" t="str">
        <f aca="false">IF(ISNUMBER(M51),K51*M51,"")</f>
        <v/>
      </c>
      <c r="P51" s="14" t="n">
        <f aca="false">E51/G51</f>
        <v>413857.658472352</v>
      </c>
    </row>
    <row r="52" customFormat="false" ht="15" hidden="false" customHeight="false" outlineLevel="0" collapsed="false">
      <c r="A52" s="12" t="n">
        <v>47</v>
      </c>
      <c r="B52" s="12" t="s">
        <v>163</v>
      </c>
      <c r="C52" s="12" t="s">
        <v>164</v>
      </c>
      <c r="D52" s="12" t="s">
        <v>33</v>
      </c>
      <c r="E52" s="35" t="n">
        <v>516.15</v>
      </c>
      <c r="F52" s="36" t="n">
        <v>98550</v>
      </c>
      <c r="G52" s="37" t="n">
        <f aca="false">F52/$F$105</f>
        <v>0.00585325491862048</v>
      </c>
      <c r="H52" s="14" t="n">
        <f aca="false">$C$2*G52</f>
        <v>222423.686907578</v>
      </c>
      <c r="I52" s="38" t="n">
        <f aca="false">ROUNDDOWN(H52/E52,0)</f>
        <v>430</v>
      </c>
      <c r="J52" s="39" t="n">
        <f aca="false">I52*E52</f>
        <v>221944.5</v>
      </c>
      <c r="K52" s="37" t="n">
        <f aca="false">IF($J$105=0,0,J52/$J$105)</f>
        <v>0.00586328442096102</v>
      </c>
      <c r="L52" s="40" t="n">
        <f aca="false">K52-G52</f>
        <v>1.00295023405424E-005</v>
      </c>
      <c r="M52" s="41"/>
      <c r="N52" s="21"/>
      <c r="O52" s="42" t="str">
        <f aca="false">IF(ISNUMBER(M52),K52*M52,"")</f>
        <v/>
      </c>
      <c r="P52" s="14" t="n">
        <f aca="false">E52/G52</f>
        <v>88181.7052522374</v>
      </c>
    </row>
    <row r="53" customFormat="false" ht="15" hidden="false" customHeight="false" outlineLevel="0" collapsed="false">
      <c r="A53" s="12" t="n">
        <v>48</v>
      </c>
      <c r="B53" s="12" t="s">
        <v>165</v>
      </c>
      <c r="C53" s="12" t="s">
        <v>166</v>
      </c>
      <c r="D53" s="12" t="s">
        <v>27</v>
      </c>
      <c r="E53" s="35" t="n">
        <v>349.25</v>
      </c>
      <c r="F53" s="36" t="n">
        <v>84693</v>
      </c>
      <c r="G53" s="37" t="n">
        <f aca="false">F53/$F$105</f>
        <v>0.00503023560449238</v>
      </c>
      <c r="H53" s="14" t="n">
        <f aca="false">$C$2*G53</f>
        <v>191148.95297071</v>
      </c>
      <c r="I53" s="38" t="n">
        <f aca="false">ROUNDDOWN(H53/E53,0)</f>
        <v>547</v>
      </c>
      <c r="J53" s="39" t="n">
        <f aca="false">I53*E53</f>
        <v>191039.75</v>
      </c>
      <c r="K53" s="37" t="n">
        <f aca="false">IF($J$105=0,0,J53/$J$105)</f>
        <v>0.00504684905442256</v>
      </c>
      <c r="L53" s="40" t="n">
        <f aca="false">K53-G53</f>
        <v>1.66134499301803E-005</v>
      </c>
      <c r="M53" s="41"/>
      <c r="N53" s="21"/>
      <c r="O53" s="42" t="str">
        <f aca="false">IF(ISNUMBER(M53),K53*M53,"")</f>
        <v/>
      </c>
      <c r="P53" s="14" t="n">
        <f aca="false">E53/G53</f>
        <v>69430.147504044</v>
      </c>
    </row>
    <row r="54" customFormat="false" ht="15" hidden="false" customHeight="false" outlineLevel="0" collapsed="false">
      <c r="A54" s="12" t="n">
        <v>49</v>
      </c>
      <c r="B54" s="12" t="s">
        <v>167</v>
      </c>
      <c r="C54" s="12" t="s">
        <v>168</v>
      </c>
      <c r="D54" s="12" t="s">
        <v>34</v>
      </c>
      <c r="E54" s="35" t="n">
        <v>372</v>
      </c>
      <c r="F54" s="36" t="n">
        <v>69011</v>
      </c>
      <c r="G54" s="37" t="n">
        <f aca="false">F54/$F$105</f>
        <v>0.0040988226807602</v>
      </c>
      <c r="H54" s="14" t="n">
        <f aca="false">$C$2*G54</f>
        <v>155755.261868888</v>
      </c>
      <c r="I54" s="38" t="n">
        <f aca="false">ROUNDDOWN(H54/E54,0)</f>
        <v>418</v>
      </c>
      <c r="J54" s="39" t="n">
        <f aca="false">I54*E54</f>
        <v>155496</v>
      </c>
      <c r="K54" s="37" t="n">
        <f aca="false">IF($J$105=0,0,J54/$J$105)</f>
        <v>0.00410786153440051</v>
      </c>
      <c r="L54" s="40" t="n">
        <f aca="false">K54-G54</f>
        <v>9.03885364031236E-006</v>
      </c>
      <c r="M54" s="41"/>
      <c r="N54" s="21"/>
      <c r="O54" s="42" t="str">
        <f aca="false">IF(ISNUMBER(M54),K54*M54,"")</f>
        <v/>
      </c>
      <c r="P54" s="14" t="n">
        <f aca="false">E54/G54</f>
        <v>90757.7685041515</v>
      </c>
    </row>
    <row r="55" customFormat="false" ht="15" hidden="false" customHeight="false" outlineLevel="0" collapsed="false">
      <c r="A55" s="12" t="n">
        <v>50</v>
      </c>
      <c r="B55" s="12" t="s">
        <v>169</v>
      </c>
      <c r="C55" s="12" t="s">
        <v>169</v>
      </c>
      <c r="D55" s="12" t="s">
        <v>36</v>
      </c>
      <c r="E55" s="35" t="n">
        <v>3303</v>
      </c>
      <c r="F55" s="36" t="n">
        <v>82416</v>
      </c>
      <c r="G55" s="37" t="n">
        <f aca="false">F55/$F$105</f>
        <v>0.0048949960159617</v>
      </c>
      <c r="H55" s="14" t="n">
        <f aca="false">$C$2*G55</f>
        <v>186009.848606545</v>
      </c>
      <c r="I55" s="38" t="n">
        <f aca="false">ROUNDDOWN(H55/E55,0)</f>
        <v>56</v>
      </c>
      <c r="J55" s="39" t="n">
        <f aca="false">I55*E55</f>
        <v>184968</v>
      </c>
      <c r="K55" s="37" t="n">
        <f aca="false">IF($J$105=0,0,J55/$J$105)</f>
        <v>0.00488644680438721</v>
      </c>
      <c r="L55" s="40" t="n">
        <f aca="false">K55-G55</f>
        <v>-8.54921157448368E-006</v>
      </c>
      <c r="M55" s="41"/>
      <c r="N55" s="21"/>
      <c r="O55" s="42" t="str">
        <f aca="false">IF(ISNUMBER(M55),K55*M55,"")</f>
        <v/>
      </c>
      <c r="P55" s="14" t="n">
        <f aca="false">E55/G55</f>
        <v>674770.722842167</v>
      </c>
    </row>
    <row r="56" customFormat="false" ht="15" hidden="false" customHeight="false" outlineLevel="0" collapsed="false">
      <c r="A56" s="12" t="n">
        <v>51</v>
      </c>
      <c r="B56" s="12" t="s">
        <v>170</v>
      </c>
      <c r="C56" s="12" t="s">
        <v>171</v>
      </c>
      <c r="D56" s="12" t="s">
        <v>41</v>
      </c>
      <c r="E56" s="35" t="n">
        <v>14461</v>
      </c>
      <c r="F56" s="36" t="n">
        <v>87736</v>
      </c>
      <c r="G56" s="37" t="n">
        <f aca="false">F56/$F$105</f>
        <v>0.00521097081217744</v>
      </c>
      <c r="H56" s="14" t="n">
        <f aca="false">$C$2*G56</f>
        <v>198016.890862743</v>
      </c>
      <c r="I56" s="38" t="n">
        <f aca="false">ROUNDDOWN(H56/E56,0)</f>
        <v>13</v>
      </c>
      <c r="J56" s="39" t="n">
        <f aca="false">I56*E56</f>
        <v>187993</v>
      </c>
      <c r="K56" s="37" t="n">
        <f aca="false">IF($J$105=0,0,J56/$J$105)</f>
        <v>0.00496636063587845</v>
      </c>
      <c r="L56" s="40" t="n">
        <f aca="false">K56-G56</f>
        <v>-0.000244610176298983</v>
      </c>
      <c r="M56" s="41"/>
      <c r="N56" s="21"/>
      <c r="O56" s="42" t="str">
        <f aca="false">IF(ISNUMBER(M56),K56*M56,"")</f>
        <v/>
      </c>
      <c r="P56" s="14" t="n">
        <f aca="false">E56/G56</f>
        <v>2775106.69724081</v>
      </c>
    </row>
    <row r="57" customFormat="false" ht="15" hidden="false" customHeight="false" outlineLevel="0" collapsed="false">
      <c r="A57" s="12" t="n">
        <v>52</v>
      </c>
      <c r="B57" s="12" t="s">
        <v>172</v>
      </c>
      <c r="C57" s="12" t="s">
        <v>173</v>
      </c>
      <c r="D57" s="12" t="s">
        <v>32</v>
      </c>
      <c r="E57" s="35" t="n">
        <v>2470.4</v>
      </c>
      <c r="F57" s="36" t="n">
        <v>68829</v>
      </c>
      <c r="G57" s="37" t="n">
        <f aca="false">F57/$F$105</f>
        <v>0.00408801301667914</v>
      </c>
      <c r="H57" s="14" t="n">
        <f aca="false">$C$2*G57</f>
        <v>155344.494633807</v>
      </c>
      <c r="I57" s="38" t="n">
        <f aca="false">ROUNDDOWN(H57/E57,0)</f>
        <v>62</v>
      </c>
      <c r="J57" s="39" t="n">
        <f aca="false">I57*E57</f>
        <v>153164.8</v>
      </c>
      <c r="K57" s="37" t="n">
        <f aca="false">IF($J$105=0,0,J57/$J$105)</f>
        <v>0.00404627636945097</v>
      </c>
      <c r="L57" s="40" t="n">
        <f aca="false">K57-G57</f>
        <v>-4.17366472281674E-005</v>
      </c>
      <c r="M57" s="41"/>
      <c r="N57" s="21"/>
      <c r="O57" s="42" t="str">
        <f aca="false">IF(ISNUMBER(M57),K57*M57,"")</f>
        <v/>
      </c>
      <c r="P57" s="14" t="n">
        <f aca="false">E57/G57</f>
        <v>604303.359583431</v>
      </c>
    </row>
    <row r="58" customFormat="false" ht="15" hidden="false" customHeight="false" outlineLevel="0" collapsed="false">
      <c r="A58" s="12" t="n">
        <v>53</v>
      </c>
      <c r="B58" s="12" t="s">
        <v>174</v>
      </c>
      <c r="C58" s="12" t="s">
        <v>175</v>
      </c>
      <c r="D58" s="12" t="s">
        <v>39</v>
      </c>
      <c r="E58" s="35" t="n">
        <v>6373</v>
      </c>
      <c r="F58" s="36" t="n">
        <v>54473</v>
      </c>
      <c r="G58" s="37" t="n">
        <f aca="false">F58/$F$105</f>
        <v>0.00323535621696614</v>
      </c>
      <c r="H58" s="14" t="n">
        <f aca="false">$C$2*G58</f>
        <v>122943.536244713</v>
      </c>
      <c r="I58" s="38" t="n">
        <f aca="false">ROUNDDOWN(H58/E58,0)</f>
        <v>19</v>
      </c>
      <c r="J58" s="39" t="n">
        <f aca="false">I58*E58</f>
        <v>121087</v>
      </c>
      <c r="K58" s="37" t="n">
        <f aca="false">IF($J$105=0,0,J58/$J$105)</f>
        <v>0.00319885160786101</v>
      </c>
      <c r="L58" s="40" t="n">
        <f aca="false">K58-G58</f>
        <v>-3.65046091051363E-005</v>
      </c>
      <c r="M58" s="41"/>
      <c r="N58" s="21"/>
      <c r="O58" s="42" t="str">
        <f aca="false">IF(ISNUMBER(M58),K58*M58,"")</f>
        <v/>
      </c>
      <c r="P58" s="14" t="n">
        <f aca="false">E58/G58</f>
        <v>1969798.55466304</v>
      </c>
    </row>
    <row r="59" customFormat="false" ht="15" hidden="false" customHeight="false" outlineLevel="0" collapsed="false">
      <c r="A59" s="12" t="n">
        <v>54</v>
      </c>
      <c r="B59" s="12" t="s">
        <v>176</v>
      </c>
      <c r="C59" s="12" t="s">
        <v>177</v>
      </c>
      <c r="D59" s="12" t="s">
        <v>31</v>
      </c>
      <c r="E59" s="35" t="n">
        <v>1859.8</v>
      </c>
      <c r="F59" s="36" t="n">
        <v>49787</v>
      </c>
      <c r="G59" s="37" t="n">
        <f aca="false">F59/$F$105</f>
        <v>0.00295703706375807</v>
      </c>
      <c r="H59" s="14" t="n">
        <f aca="false">$C$2*G59</f>
        <v>112367.408422807</v>
      </c>
      <c r="I59" s="38" t="n">
        <f aca="false">ROUNDDOWN(H59/E59,0)</f>
        <v>60</v>
      </c>
      <c r="J59" s="39" t="n">
        <f aca="false">I59*E59</f>
        <v>111588</v>
      </c>
      <c r="K59" s="37" t="n">
        <f aca="false">IF($J$105=0,0,J59/$J$105)</f>
        <v>0.00294790896808075</v>
      </c>
      <c r="L59" s="40" t="n">
        <f aca="false">K59-G59</f>
        <v>-9.12809567731824E-006</v>
      </c>
      <c r="M59" s="41"/>
      <c r="N59" s="21"/>
      <c r="O59" s="42" t="str">
        <f aca="false">IF(ISNUMBER(M59),K59*M59,"")</f>
        <v/>
      </c>
      <c r="P59" s="14" t="n">
        <f aca="false">E59/G59</f>
        <v>628940.375078153</v>
      </c>
    </row>
    <row r="60" customFormat="false" ht="15" hidden="false" customHeight="false" outlineLevel="0" collapsed="false">
      <c r="A60" s="12" t="n">
        <v>55</v>
      </c>
      <c r="B60" s="12" t="s">
        <v>178</v>
      </c>
      <c r="C60" s="12" t="s">
        <v>179</v>
      </c>
      <c r="D60" s="12" t="s">
        <v>42</v>
      </c>
      <c r="E60" s="35" t="n">
        <v>1205</v>
      </c>
      <c r="F60" s="36" t="n">
        <v>38675</v>
      </c>
      <c r="G60" s="37" t="n">
        <f aca="false">F60/$F$105</f>
        <v>0.00229705361722625</v>
      </c>
      <c r="H60" s="14" t="n">
        <f aca="false">$C$2*G60</f>
        <v>87288.0374545975</v>
      </c>
      <c r="I60" s="38" t="n">
        <f aca="false">ROUNDDOWN(H60/E60,0)</f>
        <v>72</v>
      </c>
      <c r="J60" s="39" t="n">
        <f aca="false">I60*E60</f>
        <v>86760</v>
      </c>
      <c r="K60" s="37" t="n">
        <f aca="false">IF($J$105=0,0,J60/$J$105)</f>
        <v>0.00229200794055531</v>
      </c>
      <c r="L60" s="40" t="n">
        <f aca="false">K60-G60</f>
        <v>-5.04567667093973E-006</v>
      </c>
      <c r="M60" s="41"/>
      <c r="N60" s="21"/>
      <c r="O60" s="42" t="str">
        <f aca="false">IF(ISNUMBER(M60),K60*M60,"")</f>
        <v/>
      </c>
      <c r="P60" s="14" t="n">
        <f aca="false">E60/G60</f>
        <v>524585.055813833</v>
      </c>
    </row>
    <row r="61" customFormat="false" ht="15" hidden="false" customHeight="false" outlineLevel="0" collapsed="false">
      <c r="A61" s="12" t="n">
        <v>56</v>
      </c>
      <c r="B61" s="12" t="s">
        <v>180</v>
      </c>
      <c r="C61" s="12" t="s">
        <v>181</v>
      </c>
      <c r="D61" s="12" t="s">
        <v>29</v>
      </c>
      <c r="E61" s="35" t="n">
        <v>2505.5</v>
      </c>
      <c r="F61" s="36" t="n">
        <v>47278</v>
      </c>
      <c r="G61" s="37" t="n">
        <f aca="false">F61/$F$105</f>
        <v>0.00280801812321196</v>
      </c>
      <c r="H61" s="14" t="n">
        <f aca="false">$C$2*G61</f>
        <v>106704.688682055</v>
      </c>
      <c r="I61" s="38" t="n">
        <f aca="false">ROUNDDOWN(H61/E61,0)</f>
        <v>42</v>
      </c>
      <c r="J61" s="39" t="n">
        <f aca="false">I61*E61</f>
        <v>105231</v>
      </c>
      <c r="K61" s="37" t="n">
        <f aca="false">IF($J$105=0,0,J61/$J$105)</f>
        <v>0.00277997104186925</v>
      </c>
      <c r="L61" s="40" t="n">
        <f aca="false">K61-G61</f>
        <v>-2.80470813427158E-005</v>
      </c>
      <c r="M61" s="41"/>
      <c r="N61" s="21"/>
      <c r="O61" s="42" t="str">
        <f aca="false">IF(ISNUMBER(M61),K61*M61,"")</f>
        <v/>
      </c>
      <c r="P61" s="14" t="n">
        <f aca="false">E61/G61</f>
        <v>892266.320964508</v>
      </c>
    </row>
    <row r="62" customFormat="false" ht="15" hidden="false" customHeight="false" outlineLevel="0" collapsed="false">
      <c r="A62" s="12" t="n">
        <v>57</v>
      </c>
      <c r="B62" s="12" t="s">
        <v>182</v>
      </c>
      <c r="C62" s="12" t="s">
        <v>183</v>
      </c>
      <c r="D62" s="12" t="s">
        <v>30</v>
      </c>
      <c r="E62" s="35" t="n">
        <v>5348</v>
      </c>
      <c r="F62" s="36" t="n">
        <v>47423</v>
      </c>
      <c r="G62" s="37" t="n">
        <f aca="false">F62/$F$105</f>
        <v>0.0028166302182216</v>
      </c>
      <c r="H62" s="14" t="n">
        <f aca="false">$C$2*G62</f>
        <v>107031.948292421</v>
      </c>
      <c r="I62" s="38" t="n">
        <f aca="false">ROUNDDOWN(H62/E62,0)</f>
        <v>20</v>
      </c>
      <c r="J62" s="39" t="n">
        <f aca="false">I62*E62</f>
        <v>106960</v>
      </c>
      <c r="K62" s="37" t="n">
        <f aca="false">IF($J$105=0,0,J62/$J$105)</f>
        <v>0.00282564741034804</v>
      </c>
      <c r="L62" s="40" t="n">
        <f aca="false">K62-G62</f>
        <v>9.01719212643808E-006</v>
      </c>
      <c r="M62" s="41"/>
      <c r="N62" s="21"/>
      <c r="O62" s="42" t="str">
        <f aca="false">IF(ISNUMBER(M62),K62*M62,"")</f>
        <v/>
      </c>
      <c r="P62" s="14" t="n">
        <f aca="false">E62/G62</f>
        <v>1898722.79484976</v>
      </c>
    </row>
    <row r="63" customFormat="false" ht="15" hidden="false" customHeight="false" outlineLevel="0" collapsed="false">
      <c r="A63" s="12" t="n">
        <v>58</v>
      </c>
      <c r="B63" s="12" t="s">
        <v>184</v>
      </c>
      <c r="C63" s="12" t="s">
        <v>185</v>
      </c>
      <c r="D63" s="12" t="s">
        <v>40</v>
      </c>
      <c r="E63" s="35" t="n">
        <v>539.3</v>
      </c>
      <c r="F63" s="36" t="n">
        <v>44593</v>
      </c>
      <c r="G63" s="37" t="n">
        <f aca="false">F63/$F$105</f>
        <v>0.00264854588113692</v>
      </c>
      <c r="H63" s="14" t="n">
        <f aca="false">$C$2*G63</f>
        <v>100644.743483203</v>
      </c>
      <c r="I63" s="38" t="n">
        <f aca="false">ROUNDDOWN(H63/E63,0)</f>
        <v>186</v>
      </c>
      <c r="J63" s="39" t="n">
        <f aca="false">I63*E63</f>
        <v>100309.8</v>
      </c>
      <c r="K63" s="37" t="n">
        <f aca="false">IF($J$105=0,0,J63/$J$105)</f>
        <v>0.00264996378648588</v>
      </c>
      <c r="L63" s="40" t="n">
        <f aca="false">K63-G63</f>
        <v>1.41790534896602E-006</v>
      </c>
      <c r="M63" s="41"/>
      <c r="N63" s="21"/>
      <c r="O63" s="42" t="str">
        <f aca="false">IF(ISNUMBER(M63),K63*M63,"")</f>
        <v/>
      </c>
      <c r="P63" s="14" t="n">
        <f aca="false">E63/G63</f>
        <v>203621.165803063</v>
      </c>
    </row>
    <row r="64" customFormat="false" ht="15" hidden="false" customHeight="false" outlineLevel="0" collapsed="false">
      <c r="A64" s="12" t="n">
        <v>59</v>
      </c>
      <c r="B64" s="12" t="s">
        <v>186</v>
      </c>
      <c r="C64" s="12" t="s">
        <v>187</v>
      </c>
      <c r="D64" s="12" t="s">
        <v>28</v>
      </c>
      <c r="E64" s="35" t="n">
        <v>292.3</v>
      </c>
      <c r="F64" s="36" t="n">
        <v>43560</v>
      </c>
      <c r="G64" s="37" t="n">
        <f aca="false">F64/$F$105</f>
        <v>0.00258719212841307</v>
      </c>
      <c r="H64" s="14" t="n">
        <f aca="false">$C$2*G64</f>
        <v>98313.3008796967</v>
      </c>
      <c r="I64" s="38" t="n">
        <f aca="false">ROUNDDOWN(H64/E64,0)</f>
        <v>336</v>
      </c>
      <c r="J64" s="39" t="n">
        <f aca="false">I64*E64</f>
        <v>98212.8</v>
      </c>
      <c r="K64" s="37" t="n">
        <f aca="false">IF($J$105=0,0,J64/$J$105)</f>
        <v>0.00259456566925047</v>
      </c>
      <c r="L64" s="40" t="n">
        <f aca="false">K64-G64</f>
        <v>7.37354083739849E-006</v>
      </c>
      <c r="M64" s="41"/>
      <c r="N64" s="21"/>
      <c r="O64" s="42" t="str">
        <f aca="false">IF(ISNUMBER(M64),K64*M64,"")</f>
        <v/>
      </c>
      <c r="P64" s="14" t="n">
        <f aca="false">E64/G64</f>
        <v>112979.626364004</v>
      </c>
    </row>
    <row r="65" customFormat="false" ht="15" hidden="false" customHeight="false" outlineLevel="0" collapsed="false">
      <c r="A65" s="12" t="n">
        <v>60</v>
      </c>
      <c r="B65" s="12" t="s">
        <v>188</v>
      </c>
      <c r="C65" s="12" t="s">
        <v>189</v>
      </c>
      <c r="D65" s="12" t="s">
        <v>30</v>
      </c>
      <c r="E65" s="35" t="n">
        <v>1475.9</v>
      </c>
      <c r="F65" s="36" t="n">
        <v>39369</v>
      </c>
      <c r="G65" s="37" t="n">
        <f aca="false">F65/$F$105</f>
        <v>0.00233827288575515</v>
      </c>
      <c r="H65" s="14" t="n">
        <f aca="false">$C$2*G65</f>
        <v>88854.3696586955</v>
      </c>
      <c r="I65" s="38" t="n">
        <f aca="false">ROUNDDOWN(H65/E65,0)</f>
        <v>60</v>
      </c>
      <c r="J65" s="39" t="n">
        <f aca="false">I65*E65</f>
        <v>88554</v>
      </c>
      <c r="K65" s="37" t="n">
        <f aca="false">IF($J$105=0,0,J65/$J$105)</f>
        <v>0.00233940146574383</v>
      </c>
      <c r="L65" s="40" t="n">
        <f aca="false">K65-G65</f>
        <v>1.1285799886877E-006</v>
      </c>
      <c r="M65" s="41"/>
      <c r="N65" s="21"/>
      <c r="O65" s="42" t="str">
        <f aca="false">IF(ISNUMBER(M65),K65*M65,"")</f>
        <v/>
      </c>
      <c r="P65" s="14" t="n">
        <f aca="false">E65/G65</f>
        <v>631192.368089817</v>
      </c>
    </row>
    <row r="66" customFormat="false" ht="15" hidden="false" customHeight="false" outlineLevel="0" collapsed="false">
      <c r="A66" s="12" t="n">
        <v>61</v>
      </c>
      <c r="B66" s="12" t="s">
        <v>190</v>
      </c>
      <c r="C66" s="12" t="s">
        <v>191</v>
      </c>
      <c r="D66" s="12" t="s">
        <v>32</v>
      </c>
      <c r="E66" s="35" t="n">
        <v>924.5</v>
      </c>
      <c r="F66" s="36" t="n">
        <v>53331</v>
      </c>
      <c r="G66" s="37" t="n">
        <f aca="false">F66/$F$105</f>
        <v>0.0031675285445454</v>
      </c>
      <c r="H66" s="14" t="n">
        <f aca="false">$C$2*G66</f>
        <v>120366.084692725</v>
      </c>
      <c r="I66" s="38" t="n">
        <f aca="false">ROUNDDOWN(H66/E66,0)</f>
        <v>130</v>
      </c>
      <c r="J66" s="39" t="n">
        <f aca="false">I66*E66</f>
        <v>120185</v>
      </c>
      <c r="K66" s="37" t="n">
        <f aca="false">IF($J$105=0,0,J66/$J$105)</f>
        <v>0.00317502275628907</v>
      </c>
      <c r="L66" s="40" t="n">
        <f aca="false">K66-G66</f>
        <v>7.49421174367753E-006</v>
      </c>
      <c r="M66" s="41"/>
      <c r="N66" s="21"/>
      <c r="O66" s="42" t="str">
        <f aca="false">IF(ISNUMBER(M66),K66*M66,"")</f>
        <v/>
      </c>
      <c r="P66" s="14" t="n">
        <f aca="false">E66/G66</f>
        <v>291867.930153944</v>
      </c>
    </row>
    <row r="67" customFormat="false" ht="15" hidden="false" customHeight="false" outlineLevel="0" collapsed="false">
      <c r="A67" s="12" t="n">
        <v>62</v>
      </c>
      <c r="B67" s="12" t="s">
        <v>192</v>
      </c>
      <c r="C67" s="12" t="s">
        <v>193</v>
      </c>
      <c r="D67" s="12" t="s">
        <v>31</v>
      </c>
      <c r="E67" s="35" t="n">
        <v>1308.9</v>
      </c>
      <c r="F67" s="36" t="n">
        <v>34416</v>
      </c>
      <c r="G67" s="37" t="n">
        <f aca="false">F67/$F$105</f>
        <v>0.0020440955989776</v>
      </c>
      <c r="H67" s="14" t="n">
        <f aca="false">$C$2*G67</f>
        <v>77675.6327611488</v>
      </c>
      <c r="I67" s="38" t="n">
        <f aca="false">ROUNDDOWN(H67/E67,0)</f>
        <v>59</v>
      </c>
      <c r="J67" s="39" t="n">
        <f aca="false">I67*E67</f>
        <v>77225.1</v>
      </c>
      <c r="K67" s="37" t="n">
        <f aca="false">IF($J$105=0,0,J67/$J$105)</f>
        <v>0.00204011690191537</v>
      </c>
      <c r="L67" s="40" t="n">
        <f aca="false">K67-G67</f>
        <v>-3.97869706222432E-006</v>
      </c>
      <c r="M67" s="41"/>
      <c r="N67" s="21"/>
      <c r="O67" s="42" t="str">
        <f aca="false">IF(ISNUMBER(M67),K67*M67,"")</f>
        <v/>
      </c>
      <c r="P67" s="14" t="n">
        <f aca="false">E67/G67</f>
        <v>640332.086549512</v>
      </c>
    </row>
    <row r="68" customFormat="false" ht="15" hidden="false" customHeight="false" outlineLevel="0" collapsed="false">
      <c r="A68" s="12" t="n">
        <v>63</v>
      </c>
      <c r="B68" s="12" t="s">
        <v>194</v>
      </c>
      <c r="C68" s="12" t="s">
        <v>195</v>
      </c>
      <c r="D68" s="12" t="s">
        <v>39</v>
      </c>
      <c r="E68" s="35" t="n">
        <v>4740.1</v>
      </c>
      <c r="F68" s="36" t="n">
        <v>52174</v>
      </c>
      <c r="G68" s="37" t="n">
        <f aca="false">F68/$F$105</f>
        <v>0.00309880996574434</v>
      </c>
      <c r="H68" s="14" t="n">
        <f aca="false">$C$2*G68</f>
        <v>117754.778698285</v>
      </c>
      <c r="I68" s="38" t="n">
        <f aca="false">ROUNDDOWN(H68/E68,0)</f>
        <v>24</v>
      </c>
      <c r="J68" s="39" t="n">
        <f aca="false">I68*E68</f>
        <v>113762.4</v>
      </c>
      <c r="K68" s="37" t="n">
        <f aca="false">IF($J$105=0,0,J68/$J$105)</f>
        <v>0.00300535182269052</v>
      </c>
      <c r="L68" s="40" t="n">
        <f aca="false">K68-G68</f>
        <v>-9.34581430538217E-005</v>
      </c>
      <c r="M68" s="41"/>
      <c r="N68" s="21"/>
      <c r="O68" s="42" t="str">
        <f aca="false">IF(ISNUMBER(M68),K68*M68,"")</f>
        <v/>
      </c>
      <c r="P68" s="14" t="n">
        <f aca="false">E68/G68</f>
        <v>1529651.72191881</v>
      </c>
    </row>
    <row r="69" customFormat="false" ht="15" hidden="false" customHeight="false" outlineLevel="0" collapsed="false">
      <c r="A69" s="12" t="n">
        <v>64</v>
      </c>
      <c r="B69" s="12" t="s">
        <v>196</v>
      </c>
      <c r="C69" s="12" t="s">
        <v>197</v>
      </c>
      <c r="D69" s="12" t="s">
        <v>43</v>
      </c>
      <c r="E69" s="35" t="n">
        <v>33315</v>
      </c>
      <c r="F69" s="36" t="n">
        <v>36909</v>
      </c>
      <c r="G69" s="37" t="n">
        <f aca="false">F69/$F$105</f>
        <v>0.00219216423938471</v>
      </c>
      <c r="H69" s="14" t="n">
        <f aca="false">$C$2*G69</f>
        <v>83302.241096619</v>
      </c>
      <c r="I69" s="38" t="n">
        <f aca="false">ROUNDDOWN(H69/E69,0)</f>
        <v>2</v>
      </c>
      <c r="J69" s="39" t="n">
        <f aca="false">I69*E69</f>
        <v>66630</v>
      </c>
      <c r="K69" s="37" t="n">
        <f aca="false">IF($J$105=0,0,J69/$J$105)</f>
        <v>0.00176021771644998</v>
      </c>
      <c r="L69" s="40" t="n">
        <f aca="false">K69-G69</f>
        <v>-0.00043194652293473</v>
      </c>
      <c r="M69" s="41"/>
      <c r="N69" s="21"/>
      <c r="O69" s="42" t="str">
        <f aca="false">IF(ISNUMBER(M69),K69*M69,"")</f>
        <v/>
      </c>
      <c r="P69" s="14" t="n">
        <f aca="false">E69/G69</f>
        <v>15197310.2204015</v>
      </c>
    </row>
    <row r="70" customFormat="false" ht="15" hidden="false" customHeight="false" outlineLevel="0" collapsed="false">
      <c r="A70" s="12" t="n">
        <v>65</v>
      </c>
      <c r="B70" s="12" t="s">
        <v>198</v>
      </c>
      <c r="C70" s="12" t="s">
        <v>199</v>
      </c>
      <c r="D70" s="12" t="s">
        <v>30</v>
      </c>
      <c r="E70" s="35" t="n">
        <v>4243.2</v>
      </c>
      <c r="F70" s="36" t="n">
        <v>39590</v>
      </c>
      <c r="G70" s="37" t="n">
        <f aca="false">F70/$F$105</f>
        <v>0.00235139890642501</v>
      </c>
      <c r="H70" s="14" t="n">
        <f aca="false">$C$2*G70</f>
        <v>89353.1584441504</v>
      </c>
      <c r="I70" s="38" t="n">
        <f aca="false">ROUNDDOWN(H70/E70,0)</f>
        <v>21</v>
      </c>
      <c r="J70" s="39" t="n">
        <f aca="false">I70*E70</f>
        <v>89107.2</v>
      </c>
      <c r="K70" s="37" t="n">
        <f aca="false">IF($J$105=0,0,J70/$J$105)</f>
        <v>0.0023540157902334</v>
      </c>
      <c r="L70" s="40" t="n">
        <f aca="false">K70-G70</f>
        <v>2.61688380839452E-006</v>
      </c>
      <c r="M70" s="41"/>
      <c r="N70" s="21"/>
      <c r="O70" s="42" t="str">
        <f aca="false">IF(ISNUMBER(M70),K70*M70,"")</f>
        <v/>
      </c>
      <c r="P70" s="14" t="n">
        <f aca="false">E70/G70</f>
        <v>1804542.81423956</v>
      </c>
    </row>
    <row r="71" customFormat="false" ht="15" hidden="false" customHeight="false" outlineLevel="0" collapsed="false">
      <c r="A71" s="12" t="n">
        <v>66</v>
      </c>
      <c r="B71" s="12" t="s">
        <v>200</v>
      </c>
      <c r="C71" s="12" t="s">
        <v>201</v>
      </c>
      <c r="D71" s="12" t="s">
        <v>32</v>
      </c>
      <c r="E71" s="35" t="n">
        <v>3504.8</v>
      </c>
      <c r="F71" s="36" t="n">
        <v>43436</v>
      </c>
      <c r="G71" s="37" t="n">
        <f aca="false">F71/$F$105</f>
        <v>0.00257982730233586</v>
      </c>
      <c r="H71" s="14" t="n">
        <f aca="false">$C$2*G71</f>
        <v>98033.4374887627</v>
      </c>
      <c r="I71" s="38" t="n">
        <f aca="false">ROUNDDOWN(H71/E71,0)</f>
        <v>27</v>
      </c>
      <c r="J71" s="39" t="n">
        <f aca="false">I71*E71</f>
        <v>94629.6</v>
      </c>
      <c r="K71" s="37" t="n">
        <f aca="false">IF($J$105=0,0,J71/$J$105)</f>
        <v>0.00249990542429199</v>
      </c>
      <c r="L71" s="40" t="n">
        <f aca="false">K71-G71</f>
        <v>-7.99218780438734E-005</v>
      </c>
      <c r="M71" s="41"/>
      <c r="N71" s="21"/>
      <c r="O71" s="42" t="str">
        <f aca="false">IF(ISNUMBER(M71),K71*M71,"")</f>
        <v/>
      </c>
      <c r="P71" s="14" t="n">
        <f aca="false">E71/G71</f>
        <v>1358540.54913933</v>
      </c>
    </row>
    <row r="72" customFormat="false" ht="15" hidden="false" customHeight="false" outlineLevel="0" collapsed="false">
      <c r="A72" s="12" t="n">
        <v>67</v>
      </c>
      <c r="B72" s="12" t="s">
        <v>202</v>
      </c>
      <c r="C72" s="12" t="s">
        <v>203</v>
      </c>
      <c r="D72" s="12" t="s">
        <v>29</v>
      </c>
      <c r="E72" s="35" t="n">
        <v>551.1</v>
      </c>
      <c r="F72" s="36" t="n">
        <v>32634</v>
      </c>
      <c r="G72" s="37" t="n">
        <f aca="false">F72/$F$105</f>
        <v>0.00193825592099706</v>
      </c>
      <c r="H72" s="14" t="n">
        <f aca="false">$C$2*G72</f>
        <v>73653.7249978884</v>
      </c>
      <c r="I72" s="38" t="n">
        <f aca="false">ROUNDDOWN(H72/E72,0)</f>
        <v>133</v>
      </c>
      <c r="J72" s="39" t="n">
        <f aca="false">I72*E72</f>
        <v>73296.3</v>
      </c>
      <c r="K72" s="37" t="n">
        <f aca="false">IF($J$105=0,0,J72/$J$105)</f>
        <v>0.00193632666682024</v>
      </c>
      <c r="L72" s="40" t="n">
        <f aca="false">K72-G72</f>
        <v>-1.92925417682207E-006</v>
      </c>
      <c r="M72" s="41"/>
      <c r="N72" s="21"/>
      <c r="O72" s="42" t="str">
        <f aca="false">IF(ISNUMBER(M72),K72*M72,"")</f>
        <v/>
      </c>
      <c r="P72" s="14" t="n">
        <f aca="false">E72/G72</f>
        <v>284327.778406325</v>
      </c>
    </row>
    <row r="73" customFormat="false" ht="15" hidden="false" customHeight="false" outlineLevel="0" collapsed="false">
      <c r="A73" s="12" t="n">
        <v>68</v>
      </c>
      <c r="B73" s="12" t="s">
        <v>204</v>
      </c>
      <c r="C73" s="12" t="s">
        <v>205</v>
      </c>
      <c r="D73" s="12" t="s">
        <v>40</v>
      </c>
      <c r="E73" s="35" t="n">
        <v>4829.5</v>
      </c>
      <c r="F73" s="36" t="n">
        <v>35439</v>
      </c>
      <c r="G73" s="37" t="n">
        <f aca="false">F73/$F$105</f>
        <v>0.00210485541411457</v>
      </c>
      <c r="H73" s="14" t="n">
        <f aca="false">$C$2*G73</f>
        <v>79984.5057363538</v>
      </c>
      <c r="I73" s="38" t="n">
        <f aca="false">ROUNDDOWN(H73/E73,0)</f>
        <v>16</v>
      </c>
      <c r="J73" s="39" t="n">
        <f aca="false">I73*E73</f>
        <v>77272</v>
      </c>
      <c r="K73" s="37" t="n">
        <f aca="false">IF($J$105=0,0,J73/$J$105)</f>
        <v>0.00204135589652593</v>
      </c>
      <c r="L73" s="40" t="n">
        <f aca="false">K73-G73</f>
        <v>-6.34995175886393E-005</v>
      </c>
      <c r="M73" s="41"/>
      <c r="N73" s="21"/>
      <c r="O73" s="42" t="str">
        <f aca="false">IF(ISNUMBER(M73),K73*M73,"")</f>
        <v/>
      </c>
      <c r="P73" s="14" t="n">
        <f aca="false">E73/G73</f>
        <v>2294456.88649905</v>
      </c>
    </row>
    <row r="74" customFormat="false" ht="15" hidden="false" customHeight="false" outlineLevel="0" collapsed="false">
      <c r="A74" s="12" t="n">
        <v>69</v>
      </c>
      <c r="B74" s="12" t="s">
        <v>206</v>
      </c>
      <c r="C74" s="12" t="s">
        <v>207</v>
      </c>
      <c r="D74" s="12" t="s">
        <v>36</v>
      </c>
      <c r="E74" s="35" t="n">
        <v>1391</v>
      </c>
      <c r="F74" s="36" t="n">
        <v>29335</v>
      </c>
      <c r="G74" s="37" t="n">
        <f aca="false">F74/$F$105</f>
        <v>0.00174231591108809</v>
      </c>
      <c r="H74" s="14" t="n">
        <f aca="false">$C$2*G74</f>
        <v>66208.0046213476</v>
      </c>
      <c r="I74" s="38" t="n">
        <f aca="false">ROUNDDOWN(H74/E74,0)</f>
        <v>47</v>
      </c>
      <c r="J74" s="39" t="n">
        <f aca="false">I74*E74</f>
        <v>65377</v>
      </c>
      <c r="K74" s="37" t="n">
        <f aca="false">IF($J$105=0,0,J74/$J$105)</f>
        <v>0.00172711621864551</v>
      </c>
      <c r="L74" s="40" t="n">
        <f aca="false">K74-G74</f>
        <v>-1.51996924425836E-005</v>
      </c>
      <c r="M74" s="41"/>
      <c r="N74" s="21"/>
      <c r="O74" s="42" t="str">
        <f aca="false">IF(ISNUMBER(M74),K74*M74,"")</f>
        <v/>
      </c>
      <c r="P74" s="14" t="n">
        <f aca="false">E74/G74</f>
        <v>798362.679895006</v>
      </c>
    </row>
    <row r="75" customFormat="false" ht="15" hidden="false" customHeight="false" outlineLevel="0" collapsed="false">
      <c r="A75" s="12" t="n">
        <v>70</v>
      </c>
      <c r="B75" s="12" t="s">
        <v>208</v>
      </c>
      <c r="C75" s="12" t="s">
        <v>209</v>
      </c>
      <c r="D75" s="12" t="s">
        <v>35</v>
      </c>
      <c r="E75" s="35" t="n">
        <v>17603</v>
      </c>
      <c r="F75" s="36" t="n">
        <v>23212</v>
      </c>
      <c r="G75" s="37" t="n">
        <f aca="false">F75/$F$105</f>
        <v>0.00137864792664656</v>
      </c>
      <c r="H75" s="14" t="n">
        <f aca="false">$C$2*G75</f>
        <v>52388.6212125693</v>
      </c>
      <c r="I75" s="38" t="n">
        <f aca="false">ROUNDDOWN(H75/E75,0)</f>
        <v>2</v>
      </c>
      <c r="J75" s="39" t="n">
        <f aca="false">I75*E75</f>
        <v>35206</v>
      </c>
      <c r="K75" s="37" t="n">
        <f aca="false">IF($J$105=0,0,J75/$J$105)</f>
        <v>0.00093006490958034</v>
      </c>
      <c r="L75" s="40" t="n">
        <f aca="false">K75-G75</f>
        <v>-0.000448583017066221</v>
      </c>
      <c r="M75" s="41"/>
      <c r="N75" s="21"/>
      <c r="O75" s="42" t="str">
        <f aca="false">IF(ISNUMBER(M75),K75*M75,"")</f>
        <v/>
      </c>
      <c r="P75" s="14" t="n">
        <f aca="false">E75/G75</f>
        <v>12768307.0200655</v>
      </c>
    </row>
    <row r="76" customFormat="false" ht="15" hidden="false" customHeight="false" outlineLevel="0" collapsed="false">
      <c r="A76" s="12" t="n">
        <v>71</v>
      </c>
      <c r="B76" s="12" t="s">
        <v>210</v>
      </c>
      <c r="C76" s="12" t="s">
        <v>211</v>
      </c>
      <c r="D76" s="12" t="s">
        <v>39</v>
      </c>
      <c r="E76" s="35" t="n">
        <v>660.8</v>
      </c>
      <c r="F76" s="36" t="n">
        <v>33559</v>
      </c>
      <c r="G76" s="37" t="n">
        <f aca="false">F76/$F$105</f>
        <v>0.0019931951477827</v>
      </c>
      <c r="H76" s="14" t="n">
        <f aca="false">$C$2*G76</f>
        <v>75741.4156157424</v>
      </c>
      <c r="I76" s="38" t="n">
        <f aca="false">ROUNDDOWN(H76/E76,0)</f>
        <v>114</v>
      </c>
      <c r="J76" s="39" t="n">
        <f aca="false">I76*E76</f>
        <v>75331.2</v>
      </c>
      <c r="K76" s="37" t="n">
        <f aca="false">IF($J$105=0,0,J76/$J$105)</f>
        <v>0.00199008423895298</v>
      </c>
      <c r="L76" s="40" t="n">
        <f aca="false">K76-G76</f>
        <v>-3.11090882971956E-006</v>
      </c>
      <c r="M76" s="41"/>
      <c r="N76" s="21"/>
      <c r="O76" s="42" t="str">
        <f aca="false">IF(ISNUMBER(M76),K76*M76,"")</f>
        <v/>
      </c>
      <c r="P76" s="14" t="n">
        <f aca="false">E76/G76</f>
        <v>331527.999521321</v>
      </c>
    </row>
    <row r="77" customFormat="false" ht="15" hidden="false" customHeight="false" outlineLevel="0" collapsed="false">
      <c r="A77" s="12" t="n">
        <v>72</v>
      </c>
      <c r="B77" s="12" t="s">
        <v>212</v>
      </c>
      <c r="C77" s="12" t="s">
        <v>213</v>
      </c>
      <c r="D77" s="12" t="s">
        <v>39</v>
      </c>
      <c r="E77" s="35" t="n">
        <v>1735</v>
      </c>
      <c r="F77" s="36" t="n">
        <v>23468</v>
      </c>
      <c r="G77" s="37" t="n">
        <f aca="false">F77/$F$105</f>
        <v>0.00139385272887048</v>
      </c>
      <c r="H77" s="14" t="n">
        <f aca="false">$C$2*G77</f>
        <v>52966.4036970781</v>
      </c>
      <c r="I77" s="38" t="n">
        <f aca="false">ROUNDDOWN(H77/E77,0)</f>
        <v>30</v>
      </c>
      <c r="J77" s="39" t="n">
        <f aca="false">I77*E77</f>
        <v>52050</v>
      </c>
      <c r="K77" s="37" t="n">
        <f aca="false">IF($J$105=0,0,J77/$J$105)</f>
        <v>0.00137504625755998</v>
      </c>
      <c r="L77" s="40" t="n">
        <f aca="false">K77-G77</f>
        <v>-1.88064713104951E-005</v>
      </c>
      <c r="M77" s="41"/>
      <c r="N77" s="21"/>
      <c r="O77" s="42" t="str">
        <f aca="false">IF(ISNUMBER(M77),K77*M77,"")</f>
        <v/>
      </c>
      <c r="P77" s="14" t="n">
        <f aca="false">E77/G77</f>
        <v>1244751.30267598</v>
      </c>
    </row>
    <row r="78" customFormat="false" ht="15" hidden="false" customHeight="false" outlineLevel="0" collapsed="false">
      <c r="A78" s="12" t="n">
        <v>73</v>
      </c>
      <c r="B78" s="12" t="s">
        <v>214</v>
      </c>
      <c r="C78" s="12" t="s">
        <v>215</v>
      </c>
      <c r="D78" s="12" t="s">
        <v>32</v>
      </c>
      <c r="E78" s="35" t="n">
        <v>4650</v>
      </c>
      <c r="F78" s="36" t="n">
        <v>21186</v>
      </c>
      <c r="G78" s="37" t="n">
        <f aca="false">F78/$F$105</f>
        <v>0.00125831617154636</v>
      </c>
      <c r="H78" s="14" t="n">
        <f aca="false">$C$2*G78</f>
        <v>47816.0145187616</v>
      </c>
      <c r="I78" s="38" t="n">
        <f aca="false">ROUNDDOWN(H78/E78,0)</f>
        <v>10</v>
      </c>
      <c r="J78" s="39" t="n">
        <f aca="false">I78*E78</f>
        <v>46500</v>
      </c>
      <c r="K78" s="37" t="n">
        <f aca="false">IF($J$105=0,0,J78/$J$105)</f>
        <v>0.00122842749234465</v>
      </c>
      <c r="L78" s="40" t="n">
        <f aca="false">K78-G78</f>
        <v>-2.98886792017056E-005</v>
      </c>
      <c r="M78" s="41"/>
      <c r="N78" s="21"/>
      <c r="O78" s="42" t="str">
        <f aca="false">IF(ISNUMBER(M78),K78*M78,"")</f>
        <v/>
      </c>
      <c r="P78" s="14" t="n">
        <f aca="false">E78/G78</f>
        <v>3695414.63834608</v>
      </c>
    </row>
    <row r="79" customFormat="false" ht="15" hidden="false" customHeight="false" outlineLevel="0" collapsed="false">
      <c r="A79" s="12" t="n">
        <v>74</v>
      </c>
      <c r="B79" s="12" t="s">
        <v>216</v>
      </c>
      <c r="C79" s="12" t="s">
        <v>217</v>
      </c>
      <c r="D79" s="12" t="s">
        <v>30</v>
      </c>
      <c r="E79" s="35" t="n">
        <v>4307.52</v>
      </c>
      <c r="F79" s="36" t="n">
        <v>25993</v>
      </c>
      <c r="G79" s="37" t="n">
        <f aca="false">F79/$F$105</f>
        <v>0.00154382196955558</v>
      </c>
      <c r="H79" s="14" t="n">
        <f aca="false">$C$2*G79</f>
        <v>58665.2348431119</v>
      </c>
      <c r="I79" s="38" t="n">
        <f aca="false">ROUNDDOWN(H79/E79,0)</f>
        <v>13</v>
      </c>
      <c r="J79" s="39" t="n">
        <f aca="false">I79*E79</f>
        <v>55997.76</v>
      </c>
      <c r="K79" s="37" t="n">
        <f aca="false">IF($J$105=0,0,J79/$J$105)</f>
        <v>0.00147933737405844</v>
      </c>
      <c r="L79" s="40" t="n">
        <f aca="false">K79-G79</f>
        <v>-6.44845954971332E-005</v>
      </c>
      <c r="M79" s="41"/>
      <c r="N79" s="21"/>
      <c r="O79" s="42" t="str">
        <f aca="false">IF(ISNUMBER(M79),K79*M79,"")</f>
        <v/>
      </c>
      <c r="P79" s="14" t="n">
        <f aca="false">E79/G79</f>
        <v>2790166.27884886</v>
      </c>
    </row>
    <row r="80" customFormat="false" ht="15" hidden="false" customHeight="false" outlineLevel="0" collapsed="false">
      <c r="A80" s="12" t="n">
        <v>75</v>
      </c>
      <c r="B80" s="12" t="s">
        <v>218</v>
      </c>
      <c r="C80" s="12" t="s">
        <v>219</v>
      </c>
      <c r="D80" s="12" t="s">
        <v>30</v>
      </c>
      <c r="E80" s="35" t="n">
        <v>4304.28</v>
      </c>
      <c r="F80" s="36" t="n">
        <v>28499</v>
      </c>
      <c r="G80" s="37" t="n">
        <f aca="false">F80/$F$105</f>
        <v>0.00169266272882562</v>
      </c>
      <c r="H80" s="14" t="n">
        <f aca="false">$C$2*G80</f>
        <v>64321.1836953736</v>
      </c>
      <c r="I80" s="38" t="n">
        <f aca="false">ROUNDDOWN(H80/E80,0)</f>
        <v>14</v>
      </c>
      <c r="J80" s="39" t="n">
        <f aca="false">I80*E80</f>
        <v>60259.92</v>
      </c>
      <c r="K80" s="37" t="n">
        <f aca="false">IF($J$105=0,0,J80/$J$105)</f>
        <v>0.00159193424547289</v>
      </c>
      <c r="L80" s="40" t="n">
        <f aca="false">K80-G80</f>
        <v>-0.000100728483352734</v>
      </c>
      <c r="M80" s="41"/>
      <c r="N80" s="21"/>
      <c r="O80" s="42" t="str">
        <f aca="false">IF(ISNUMBER(M80),K80*M80,"")</f>
        <v/>
      </c>
      <c r="P80" s="14" t="n">
        <f aca="false">E80/G80</f>
        <v>2542904.69489237</v>
      </c>
    </row>
    <row r="81" customFormat="false" ht="15" hidden="false" customHeight="false" outlineLevel="0" collapsed="false">
      <c r="A81" s="12" t="n">
        <v>76</v>
      </c>
      <c r="B81" s="12" t="s">
        <v>220</v>
      </c>
      <c r="C81" s="12" t="s">
        <v>221</v>
      </c>
      <c r="D81" s="12" t="s">
        <v>36</v>
      </c>
      <c r="E81" s="35" t="n">
        <v>813.65</v>
      </c>
      <c r="F81" s="36" t="n">
        <v>16315</v>
      </c>
      <c r="G81" s="37" t="n">
        <f aca="false">F81/$F$105</f>
        <v>0.000969009172981158</v>
      </c>
      <c r="H81" s="14" t="n">
        <f aca="false">$C$2*G81</f>
        <v>36822.348573284</v>
      </c>
      <c r="I81" s="38" t="n">
        <f aca="false">ROUNDDOWN(H81/E81,0)</f>
        <v>45</v>
      </c>
      <c r="J81" s="39" t="n">
        <f aca="false">I81*E81</f>
        <v>36614.25</v>
      </c>
      <c r="K81" s="37" t="n">
        <f aca="false">IF($J$105=0,0,J81/$J$105)</f>
        <v>0.000967267770141509</v>
      </c>
      <c r="L81" s="40" t="n">
        <f aca="false">K81-G81</f>
        <v>-1.74140283964932E-006</v>
      </c>
      <c r="M81" s="41"/>
      <c r="N81" s="21"/>
      <c r="O81" s="42" t="str">
        <f aca="false">IF(ISNUMBER(M81),K81*M81,"")</f>
        <v/>
      </c>
      <c r="P81" s="14" t="n">
        <f aca="false">E81/G81</f>
        <v>839672.133852774</v>
      </c>
    </row>
    <row r="82" customFormat="false" ht="15" hidden="false" customHeight="false" outlineLevel="0" collapsed="false">
      <c r="A82" s="12" t="n">
        <v>77</v>
      </c>
      <c r="B82" s="12" t="s">
        <v>222</v>
      </c>
      <c r="C82" s="12" t="s">
        <v>223</v>
      </c>
      <c r="D82" s="12" t="s">
        <v>36</v>
      </c>
      <c r="E82" s="35" t="n">
        <v>745.25</v>
      </c>
      <c r="F82" s="36" t="n">
        <v>18681</v>
      </c>
      <c r="G82" s="37" t="n">
        <f aca="false">F82/$F$105</f>
        <v>0.001109534806035</v>
      </c>
      <c r="H82" s="14" t="n">
        <f aca="false">$C$2*G82</f>
        <v>42162.32262933</v>
      </c>
      <c r="I82" s="38" t="n">
        <f aca="false">ROUNDDOWN(H82/E82,0)</f>
        <v>56</v>
      </c>
      <c r="J82" s="39" t="n">
        <f aca="false">I82*E82</f>
        <v>41734</v>
      </c>
      <c r="K82" s="37" t="n">
        <f aca="false">IF($J$105=0,0,J82/$J$105)</f>
        <v>0.00110252027882821</v>
      </c>
      <c r="L82" s="40" t="n">
        <f aca="false">K82-G82</f>
        <v>-7.01452720679109E-006</v>
      </c>
      <c r="M82" s="41"/>
      <c r="N82" s="21"/>
      <c r="O82" s="42" t="str">
        <f aca="false">IF(ISNUMBER(M82),K82*M82,"")</f>
        <v/>
      </c>
      <c r="P82" s="14" t="n">
        <f aca="false">E82/G82</f>
        <v>671677.892344093</v>
      </c>
    </row>
    <row r="83" customFormat="false" ht="15" hidden="false" customHeight="false" outlineLevel="0" collapsed="false">
      <c r="A83" s="12" t="n">
        <v>78</v>
      </c>
      <c r="B83" s="12" t="s">
        <v>224</v>
      </c>
      <c r="C83" s="12" t="s">
        <v>225</v>
      </c>
      <c r="D83" s="12" t="s">
        <v>41</v>
      </c>
      <c r="E83" s="35" t="n">
        <v>1445.8</v>
      </c>
      <c r="F83" s="36" t="n">
        <v>28095</v>
      </c>
      <c r="G83" s="37" t="n">
        <f aca="false">F83/$F$105</f>
        <v>0.00166866765031601</v>
      </c>
      <c r="H83" s="14" t="n">
        <f aca="false">$C$2*G83</f>
        <v>63409.3707120082</v>
      </c>
      <c r="I83" s="38" t="n">
        <f aca="false">ROUNDDOWN(H83/E83,0)</f>
        <v>43</v>
      </c>
      <c r="J83" s="39" t="n">
        <f aca="false">I83*E83</f>
        <v>62169.4</v>
      </c>
      <c r="K83" s="37" t="n">
        <f aca="false">IF($J$105=0,0,J83/$J$105)</f>
        <v>0.00164237849768971</v>
      </c>
      <c r="L83" s="40" t="n">
        <f aca="false">K83-G83</f>
        <v>-2.62891526262945E-005</v>
      </c>
      <c r="M83" s="41"/>
      <c r="N83" s="21"/>
      <c r="O83" s="42" t="str">
        <f aca="false">IF(ISNUMBER(M83),K83*M83,"")</f>
        <v/>
      </c>
      <c r="P83" s="14" t="n">
        <f aca="false">E83/G83</f>
        <v>866439.760923154</v>
      </c>
    </row>
    <row r="84" customFormat="false" ht="15" hidden="false" customHeight="false" outlineLevel="0" collapsed="false">
      <c r="A84" s="12" t="n">
        <v>79</v>
      </c>
      <c r="B84" s="12" t="s">
        <v>226</v>
      </c>
      <c r="C84" s="12" t="s">
        <v>227</v>
      </c>
      <c r="D84" s="12" t="s">
        <v>30</v>
      </c>
      <c r="E84" s="35" t="n">
        <v>72</v>
      </c>
      <c r="F84" s="36" t="n">
        <v>12817</v>
      </c>
      <c r="G84" s="37" t="n">
        <f aca="false">F84/$F$105</f>
        <v>0.000761249805093442</v>
      </c>
      <c r="H84" s="14" t="n">
        <f aca="false">$C$2*G84</f>
        <v>28927.4925935508</v>
      </c>
      <c r="I84" s="38" t="n">
        <f aca="false">ROUNDDOWN(H84/E84,0)</f>
        <v>401</v>
      </c>
      <c r="J84" s="39" t="n">
        <f aca="false">I84*E84</f>
        <v>28872</v>
      </c>
      <c r="K84" s="37" t="n">
        <f aca="false">IF($J$105=0,0,J84/$J$105)</f>
        <v>0.000762734592666124</v>
      </c>
      <c r="L84" s="40" t="n">
        <f aca="false">K84-G84</f>
        <v>1.48478757268258E-006</v>
      </c>
      <c r="M84" s="41"/>
      <c r="N84" s="21"/>
      <c r="O84" s="42" t="str">
        <f aca="false">IF(ISNUMBER(M84),K84*M84,"")</f>
        <v/>
      </c>
      <c r="P84" s="14" t="n">
        <f aca="false">E84/G84</f>
        <v>94581.3050042912</v>
      </c>
    </row>
    <row r="85" customFormat="false" ht="15" hidden="false" customHeight="false" outlineLevel="0" collapsed="false">
      <c r="A85" s="12" t="n">
        <v>80</v>
      </c>
      <c r="B85" s="12" t="s">
        <v>228</v>
      </c>
      <c r="C85" s="12" t="s">
        <v>229</v>
      </c>
      <c r="D85" s="12" t="s">
        <v>33</v>
      </c>
      <c r="E85" s="35" t="n">
        <v>34.41</v>
      </c>
      <c r="F85" s="36" t="n">
        <v>13440</v>
      </c>
      <c r="G85" s="37" t="n">
        <f aca="false">F85/$F$105</f>
        <v>0.000798252116755548</v>
      </c>
      <c r="H85" s="14" t="n">
        <f aca="false">$C$2*G85</f>
        <v>30333.5804367108</v>
      </c>
      <c r="I85" s="38" t="n">
        <f aca="false">ROUNDDOWN(H85/E85,0)</f>
        <v>881</v>
      </c>
      <c r="J85" s="39" t="n">
        <f aca="false">I85*E85</f>
        <v>30315.21</v>
      </c>
      <c r="K85" s="37" t="n">
        <f aca="false">IF($J$105=0,0,J85/$J$105)</f>
        <v>0.000800861019359172</v>
      </c>
      <c r="L85" s="40" t="n">
        <f aca="false">K85-G85</f>
        <v>2.60890260362408E-006</v>
      </c>
      <c r="M85" s="41"/>
      <c r="N85" s="21"/>
      <c r="O85" s="42" t="str">
        <f aca="false">IF(ISNUMBER(M85),K85*M85,"")</f>
        <v/>
      </c>
      <c r="P85" s="14" t="n">
        <f aca="false">E85/G85</f>
        <v>43106.6818085714</v>
      </c>
    </row>
    <row r="86" customFormat="false" ht="15" hidden="false" customHeight="false" outlineLevel="0" collapsed="false">
      <c r="A86" s="12" t="n">
        <v>81</v>
      </c>
      <c r="B86" s="12" t="s">
        <v>230</v>
      </c>
      <c r="C86" s="12" t="s">
        <v>231</v>
      </c>
      <c r="D86" s="12" t="s">
        <v>35</v>
      </c>
      <c r="E86" s="35" t="n">
        <v>633.4</v>
      </c>
      <c r="F86" s="36" t="n">
        <v>14896</v>
      </c>
      <c r="G86" s="37" t="n">
        <f aca="false">F86/$F$105</f>
        <v>0.000884729429404065</v>
      </c>
      <c r="H86" s="14" t="n">
        <f aca="false">$C$2*G86</f>
        <v>33619.7183173545</v>
      </c>
      <c r="I86" s="38" t="n">
        <f aca="false">ROUNDDOWN(H86/E86,0)</f>
        <v>53</v>
      </c>
      <c r="J86" s="39" t="n">
        <f aca="false">I86*E86</f>
        <v>33570.2</v>
      </c>
      <c r="K86" s="37" t="n">
        <f aca="false">IF($J$105=0,0,J86/$J$105)</f>
        <v>0.000886850679645342</v>
      </c>
      <c r="L86" s="40" t="n">
        <f aca="false">K86-G86</f>
        <v>2.1212502412767E-006</v>
      </c>
      <c r="M86" s="41"/>
      <c r="N86" s="21"/>
      <c r="O86" s="42" t="str">
        <f aca="false">IF(ISNUMBER(M86),K86*M86,"")</f>
        <v/>
      </c>
      <c r="P86" s="14" t="n">
        <f aca="false">E86/G86</f>
        <v>715925.094100967</v>
      </c>
    </row>
    <row r="87" customFormat="false" ht="15" hidden="false" customHeight="false" outlineLevel="0" collapsed="false">
      <c r="A87" s="12" t="n">
        <v>82</v>
      </c>
      <c r="B87" s="12" t="s">
        <v>232</v>
      </c>
      <c r="C87" s="12" t="s">
        <v>233</v>
      </c>
      <c r="D87" s="12" t="s">
        <v>31</v>
      </c>
      <c r="E87" s="35" t="n">
        <v>279.3</v>
      </c>
      <c r="F87" s="36" t="n">
        <v>38296</v>
      </c>
      <c r="G87" s="37" t="n">
        <f aca="false">F87/$F$105</f>
        <v>0.00227454338268381</v>
      </c>
      <c r="H87" s="14" t="n">
        <f aca="false">$C$2*G87</f>
        <v>86432.6485419849</v>
      </c>
      <c r="I87" s="38" t="n">
        <f aca="false">ROUNDDOWN(H87/E87,0)</f>
        <v>309</v>
      </c>
      <c r="J87" s="39" t="n">
        <f aca="false">I87*E87</f>
        <v>86303.7</v>
      </c>
      <c r="K87" s="37" t="n">
        <f aca="false">IF($J$105=0,0,J87/$J$105)</f>
        <v>0.00227995350045301</v>
      </c>
      <c r="L87" s="40" t="n">
        <f aca="false">K87-G87</f>
        <v>5.41011776919887E-006</v>
      </c>
      <c r="M87" s="41"/>
      <c r="N87" s="21"/>
      <c r="O87" s="42" t="str">
        <f aca="false">IF(ISNUMBER(M87),K87*M87,"")</f>
        <v/>
      </c>
      <c r="P87" s="14" t="n">
        <f aca="false">E87/G87</f>
        <v>122793.876839774</v>
      </c>
    </row>
    <row r="88" customFormat="false" ht="15" hidden="false" customHeight="false" outlineLevel="0" collapsed="false">
      <c r="A88" s="12" t="n">
        <v>83</v>
      </c>
      <c r="B88" s="12" t="s">
        <v>234</v>
      </c>
      <c r="C88" s="12" t="s">
        <v>235</v>
      </c>
      <c r="D88" s="12" t="s">
        <v>28</v>
      </c>
      <c r="E88" s="35" t="n">
        <v>37.65</v>
      </c>
      <c r="F88" s="36" t="n">
        <v>14734</v>
      </c>
      <c r="G88" s="37" t="n">
        <f aca="false">F88/$F$105</f>
        <v>0.000875107640496744</v>
      </c>
      <c r="H88" s="14" t="n">
        <f aca="false">$C$2*G88</f>
        <v>33254.0903388763</v>
      </c>
      <c r="I88" s="38" t="n">
        <f aca="false">ROUNDDOWN(H88/E88,0)</f>
        <v>883</v>
      </c>
      <c r="J88" s="39" t="n">
        <f aca="false">I88*E88</f>
        <v>33244.95</v>
      </c>
      <c r="K88" s="37" t="n">
        <f aca="false">IF($J$105=0,0,J88/$J$105)</f>
        <v>0.000878258291647813</v>
      </c>
      <c r="L88" s="40" t="n">
        <f aca="false">K88-G88</f>
        <v>3.15065115106909E-006</v>
      </c>
      <c r="M88" s="41"/>
      <c r="N88" s="21"/>
      <c r="O88" s="42" t="str">
        <f aca="false">IF(ISNUMBER(M88),K88*M88,"")</f>
        <v/>
      </c>
      <c r="P88" s="14" t="n">
        <f aca="false">E88/G88</f>
        <v>43023.2788033121</v>
      </c>
    </row>
    <row r="89" customFormat="false" ht="15" hidden="false" customHeight="false" outlineLevel="0" collapsed="false">
      <c r="A89" s="12" t="n">
        <v>84</v>
      </c>
      <c r="B89" s="12" t="s">
        <v>236</v>
      </c>
      <c r="C89" s="12" t="s">
        <v>237</v>
      </c>
      <c r="D89" s="12" t="s">
        <v>34</v>
      </c>
      <c r="E89" s="35" t="n">
        <v>36.19</v>
      </c>
      <c r="F89" s="36" t="n">
        <v>14027</v>
      </c>
      <c r="G89" s="37" t="n">
        <f aca="false">F89/$F$105</f>
        <v>0.000833116253104916</v>
      </c>
      <c r="H89" s="14" t="n">
        <f aca="false">$C$2*G89</f>
        <v>31658.4176179868</v>
      </c>
      <c r="I89" s="38" t="n">
        <f aca="false">ROUNDDOWN(H89/E89,0)</f>
        <v>874</v>
      </c>
      <c r="J89" s="39" t="n">
        <f aca="false">I89*E89</f>
        <v>31630.06</v>
      </c>
      <c r="K89" s="37" t="n">
        <f aca="false">IF($J$105=0,0,J89/$J$105)</f>
        <v>0.000835596457817438</v>
      </c>
      <c r="L89" s="40" t="n">
        <f aca="false">K89-G89</f>
        <v>2.48020471252202E-006</v>
      </c>
      <c r="M89" s="41"/>
      <c r="N89" s="21"/>
      <c r="O89" s="42" t="str">
        <f aca="false">IF(ISNUMBER(M89),K89*M89,"")</f>
        <v/>
      </c>
      <c r="P89" s="14" t="n">
        <f aca="false">E89/G89</f>
        <v>43439.3157799102</v>
      </c>
    </row>
    <row r="90" customFormat="false" ht="15" hidden="false" customHeight="false" outlineLevel="0" collapsed="false">
      <c r="A90" s="12" t="n">
        <v>85</v>
      </c>
      <c r="B90" s="12" t="s">
        <v>238</v>
      </c>
      <c r="C90" s="12" t="s">
        <v>239</v>
      </c>
      <c r="D90" s="12" t="s">
        <v>30</v>
      </c>
      <c r="E90" s="35" t="n">
        <v>2500</v>
      </c>
      <c r="F90" s="36" t="n">
        <v>13015</v>
      </c>
      <c r="G90" s="37" t="n">
        <f aca="false">F90/$F$105</f>
        <v>0.000773009769313501</v>
      </c>
      <c r="H90" s="14" t="n">
        <f aca="false">$C$2*G90</f>
        <v>29374.371233913</v>
      </c>
      <c r="I90" s="38" t="n">
        <f aca="false">ROUNDDOWN(H90/E90,0)</f>
        <v>11</v>
      </c>
      <c r="J90" s="39" t="n">
        <f aca="false">I90*E90</f>
        <v>27500</v>
      </c>
      <c r="K90" s="37" t="n">
        <f aca="false">IF($J$105=0,0,J90/$J$105)</f>
        <v>0.000726489377193073</v>
      </c>
      <c r="L90" s="40" t="n">
        <f aca="false">K90-G90</f>
        <v>-4.65203921204277E-005</v>
      </c>
      <c r="M90" s="41"/>
      <c r="N90" s="21"/>
      <c r="O90" s="42" t="str">
        <f aca="false">IF(ISNUMBER(M90),K90*M90,"")</f>
        <v/>
      </c>
      <c r="P90" s="14" t="n">
        <f aca="false">E90/G90</f>
        <v>3234111.77871687</v>
      </c>
    </row>
    <row r="91" customFormat="false" ht="15" hidden="false" customHeight="false" outlineLevel="0" collapsed="false">
      <c r="A91" s="12" t="n">
        <v>86</v>
      </c>
      <c r="B91" s="12" t="s">
        <v>240</v>
      </c>
      <c r="C91" s="12" t="s">
        <v>241</v>
      </c>
      <c r="D91" s="12" t="s">
        <v>35</v>
      </c>
      <c r="E91" s="35" t="n">
        <v>1251.1</v>
      </c>
      <c r="F91" s="36" t="n">
        <v>10259</v>
      </c>
      <c r="G91" s="37" t="n">
        <f aca="false">F91/$F$105</f>
        <v>0.000609320570371664</v>
      </c>
      <c r="H91" s="14" t="n">
        <f aca="false">$C$2*G91</f>
        <v>23154.1816741232</v>
      </c>
      <c r="I91" s="38" t="n">
        <f aca="false">ROUNDDOWN(H91/E91,0)</f>
        <v>18</v>
      </c>
      <c r="J91" s="39" t="n">
        <f aca="false">I91*E91</f>
        <v>22519.8</v>
      </c>
      <c r="K91" s="37" t="n">
        <f aca="false">IF($J$105=0,0,J91/$J$105)</f>
        <v>0.000594923471873184</v>
      </c>
      <c r="L91" s="40" t="n">
        <f aca="false">K91-G91</f>
        <v>-1.43970984984795E-005</v>
      </c>
      <c r="M91" s="41"/>
      <c r="N91" s="21"/>
      <c r="O91" s="42" t="str">
        <f aca="false">IF(ISNUMBER(M91),K91*M91,"")</f>
        <v/>
      </c>
      <c r="P91" s="14" t="n">
        <f aca="false">E91/G91</f>
        <v>2053270.57846886</v>
      </c>
    </row>
    <row r="92" customFormat="false" ht="15" hidden="false" customHeight="false" outlineLevel="0" collapsed="false">
      <c r="A92" s="12" t="n">
        <v>87</v>
      </c>
      <c r="B92" s="12" t="s">
        <v>242</v>
      </c>
      <c r="C92" s="12" t="s">
        <v>243</v>
      </c>
      <c r="D92" s="12" t="s">
        <v>44</v>
      </c>
      <c r="E92" s="35" t="n">
        <v>566.05</v>
      </c>
      <c r="F92" s="36" t="n">
        <v>10814</v>
      </c>
      <c r="G92" s="37" t="n">
        <f aca="false">F92/$F$105</f>
        <v>0.000642284106443043</v>
      </c>
      <c r="H92" s="14" t="n">
        <f aca="false">$C$2*G92</f>
        <v>24406.7960448356</v>
      </c>
      <c r="I92" s="38" t="n">
        <f aca="false">ROUNDDOWN(H92/E92,0)</f>
        <v>43</v>
      </c>
      <c r="J92" s="39" t="n">
        <f aca="false">I92*E92</f>
        <v>24340.15</v>
      </c>
      <c r="K92" s="37" t="n">
        <f aca="false">IF($J$105=0,0,J92/$J$105)</f>
        <v>0.000643013105974036</v>
      </c>
      <c r="L92" s="40" t="n">
        <f aca="false">K92-G92</f>
        <v>7.28999530992991E-007</v>
      </c>
      <c r="M92" s="41"/>
      <c r="N92" s="21"/>
      <c r="O92" s="42" t="str">
        <f aca="false">IF(ISNUMBER(M92),K92*M92,"")</f>
        <v/>
      </c>
      <c r="P92" s="14" t="n">
        <f aca="false">E92/G92</f>
        <v>881307.811172184</v>
      </c>
    </row>
    <row r="93" customFormat="false" ht="15" hidden="false" customHeight="false" outlineLevel="0" collapsed="false">
      <c r="A93" s="12" t="n">
        <v>88</v>
      </c>
      <c r="B93" s="12" t="s">
        <v>244</v>
      </c>
      <c r="C93" s="12" t="s">
        <v>245</v>
      </c>
      <c r="D93" s="12" t="s">
        <v>41</v>
      </c>
      <c r="E93" s="35" t="n">
        <v>2227.8</v>
      </c>
      <c r="F93" s="36" t="n">
        <v>14926</v>
      </c>
      <c r="G93" s="37" t="n">
        <f aca="false">F93/$F$105</f>
        <v>0.00088651124216468</v>
      </c>
      <c r="H93" s="14" t="n">
        <f aca="false">$C$2*G93</f>
        <v>33687.4272022579</v>
      </c>
      <c r="I93" s="38" t="n">
        <f aca="false">ROUNDDOWN(H93/E93,0)</f>
        <v>15</v>
      </c>
      <c r="J93" s="39" t="n">
        <f aca="false">I93*E93</f>
        <v>33417</v>
      </c>
      <c r="K93" s="37" t="n">
        <f aca="false">IF($J$105=0,0,J93/$J$105)</f>
        <v>0.000882803473369488</v>
      </c>
      <c r="L93" s="40" t="n">
        <f aca="false">K93-G93</f>
        <v>-3.70776879519204E-006</v>
      </c>
      <c r="M93" s="41"/>
      <c r="N93" s="21"/>
      <c r="O93" s="42" t="str">
        <f aca="false">IF(ISNUMBER(M93),K93*M93,"")</f>
        <v/>
      </c>
      <c r="P93" s="14" t="n">
        <f aca="false">E93/G93</f>
        <v>2512996.89619295</v>
      </c>
    </row>
    <row r="94" customFormat="false" ht="15" hidden="false" customHeight="false" outlineLevel="0" collapsed="false">
      <c r="A94" s="12" t="n">
        <v>89</v>
      </c>
      <c r="B94" s="12" t="s">
        <v>246</v>
      </c>
      <c r="C94" s="12" t="s">
        <v>247</v>
      </c>
      <c r="D94" s="12" t="s">
        <v>45</v>
      </c>
      <c r="E94" s="35" t="n">
        <v>218.19</v>
      </c>
      <c r="F94" s="36" t="n">
        <v>7967</v>
      </c>
      <c r="G94" s="37" t="n">
        <f aca="false">F94/$F$105</f>
        <v>0.000473190075460673</v>
      </c>
      <c r="H94" s="14" t="n">
        <f aca="false">$C$2*G94</f>
        <v>17981.2228675056</v>
      </c>
      <c r="I94" s="38" t="n">
        <f aca="false">ROUNDDOWN(H94/E94,0)</f>
        <v>82</v>
      </c>
      <c r="J94" s="39" t="n">
        <f aca="false">I94*E94</f>
        <v>17891.58</v>
      </c>
      <c r="K94" s="37" t="n">
        <f aca="false">IF($J$105=0,0,J94/$J$105)</f>
        <v>0.000472656102225456</v>
      </c>
      <c r="L94" s="40" t="n">
        <f aca="false">K94-G94</f>
        <v>-5.3397323521707E-007</v>
      </c>
      <c r="M94" s="41"/>
      <c r="N94" s="21"/>
      <c r="O94" s="42" t="str">
        <f aca="false">IF(ISNUMBER(M94),K94*M94,"")</f>
        <v/>
      </c>
      <c r="P94" s="14" t="n">
        <f aca="false">E94/G94</f>
        <v>461104.345410418</v>
      </c>
    </row>
    <row r="95" customFormat="false" ht="15" hidden="false" customHeight="false" outlineLevel="0" collapsed="false">
      <c r="A95" s="12" t="n">
        <v>90</v>
      </c>
      <c r="B95" s="12" t="s">
        <v>248</v>
      </c>
      <c r="C95" s="12" t="s">
        <v>249</v>
      </c>
      <c r="D95" s="12" t="s">
        <v>29</v>
      </c>
      <c r="E95" s="35" t="n">
        <v>597.95</v>
      </c>
      <c r="F95" s="36" t="n">
        <v>12396</v>
      </c>
      <c r="G95" s="37" t="n">
        <f aca="false">F95/$F$105</f>
        <v>0.000736245032686144</v>
      </c>
      <c r="H95" s="14" t="n">
        <f aca="false">$C$2*G95</f>
        <v>27977.3112420735</v>
      </c>
      <c r="I95" s="38" t="n">
        <f aca="false">ROUNDDOWN(H95/E95,0)</f>
        <v>46</v>
      </c>
      <c r="J95" s="39" t="n">
        <f aca="false">I95*E95</f>
        <v>27505.7</v>
      </c>
      <c r="K95" s="37" t="n">
        <f aca="false">IF($J$105=0,0,J95/$J$105)</f>
        <v>0.000726639958627619</v>
      </c>
      <c r="L95" s="40" t="n">
        <f aca="false">K95-G95</f>
        <v>-9.60507405852482E-006</v>
      </c>
      <c r="M95" s="41"/>
      <c r="N95" s="21"/>
      <c r="O95" s="42" t="str">
        <f aca="false">IF(ISNUMBER(M95),K95*M95,"")</f>
        <v/>
      </c>
      <c r="P95" s="14" t="n">
        <f aca="false">E95/G95</f>
        <v>812161.676416909</v>
      </c>
    </row>
    <row r="96" customFormat="false" ht="15" hidden="false" customHeight="false" outlineLevel="0" collapsed="false">
      <c r="A96" s="12" t="n">
        <v>91</v>
      </c>
      <c r="B96" s="12" t="s">
        <v>250</v>
      </c>
      <c r="C96" s="12" t="s">
        <v>251</v>
      </c>
      <c r="D96" s="12" t="s">
        <v>35</v>
      </c>
      <c r="E96" s="35" t="n">
        <v>768.75</v>
      </c>
      <c r="F96" s="36" t="n">
        <v>9300</v>
      </c>
      <c r="G96" s="37" t="n">
        <f aca="false">F96/$F$105</f>
        <v>0.000552361955790669</v>
      </c>
      <c r="H96" s="14" t="n">
        <f aca="false">$C$2*G96</f>
        <v>20989.7543200454</v>
      </c>
      <c r="I96" s="38" t="n">
        <f aca="false">ROUNDDOWN(H96/E96,0)</f>
        <v>27</v>
      </c>
      <c r="J96" s="39" t="n">
        <f aca="false">I96*E96</f>
        <v>20756.25</v>
      </c>
      <c r="K96" s="37" t="n">
        <f aca="false">IF($J$105=0,0,J96/$J$105)</f>
        <v>0.000548334368558681</v>
      </c>
      <c r="L96" s="40" t="n">
        <f aca="false">K96-G96</f>
        <v>-4.02758723198817E-006</v>
      </c>
      <c r="M96" s="41"/>
      <c r="N96" s="21"/>
      <c r="O96" s="42" t="str">
        <f aca="false">IF(ISNUMBER(M96),K96*M96,"")</f>
        <v/>
      </c>
      <c r="P96" s="14" t="n">
        <f aca="false">E96/G96</f>
        <v>1391750.44903226</v>
      </c>
    </row>
    <row r="97" customFormat="false" ht="15" hidden="false" customHeight="false" outlineLevel="0" collapsed="false">
      <c r="A97" s="12" t="n">
        <v>92</v>
      </c>
      <c r="B97" s="12" t="s">
        <v>252</v>
      </c>
      <c r="C97" s="12" t="s">
        <v>253</v>
      </c>
      <c r="D97" s="12" t="s">
        <v>30</v>
      </c>
      <c r="E97" s="35" t="n">
        <v>3294.6</v>
      </c>
      <c r="F97" s="36" t="n">
        <v>1461</v>
      </c>
      <c r="G97" s="37" t="n">
        <f aca="false">F97/$F$105</f>
        <v>8.67742814419535E-005</v>
      </c>
      <c r="H97" s="14" t="n">
        <f aca="false">$C$2*G97</f>
        <v>3297.42269479423</v>
      </c>
      <c r="I97" s="38" t="n">
        <f aca="false">ROUNDDOWN(H97/E97,0)</f>
        <v>1</v>
      </c>
      <c r="J97" s="39" t="n">
        <f aca="false">I97*E97</f>
        <v>3294.6</v>
      </c>
      <c r="K97" s="37" t="n">
        <f aca="false">IF($J$105=0,0,J97/$J$105)</f>
        <v>8.70360691672836E-005</v>
      </c>
      <c r="L97" s="40" t="n">
        <f aca="false">K97-G97</f>
        <v>2.6178772533009E-007</v>
      </c>
      <c r="M97" s="41"/>
      <c r="N97" s="21"/>
      <c r="O97" s="42" t="str">
        <f aca="false">IF(ISNUMBER(M97),K97*M97,"")</f>
        <v/>
      </c>
      <c r="P97" s="14" t="n">
        <f aca="false">E97/G97</f>
        <v>37967470.8364353</v>
      </c>
    </row>
    <row r="98" customFormat="false" ht="15" hidden="false" customHeight="false" outlineLevel="0" collapsed="false">
      <c r="A98" s="12" t="n">
        <v>93</v>
      </c>
      <c r="B98" s="12" t="s">
        <v>254</v>
      </c>
      <c r="C98" s="12" t="s">
        <v>255</v>
      </c>
      <c r="D98" s="12" t="s">
        <v>38</v>
      </c>
      <c r="E98" s="35" t="n">
        <v>245.17</v>
      </c>
      <c r="F98" s="36" t="n">
        <v>3879</v>
      </c>
      <c r="G98" s="37" t="n">
        <f aca="false">F98/$F$105</f>
        <v>0.000230388389947528</v>
      </c>
      <c r="H98" s="14" t="n">
        <f aca="false">$C$2*G98</f>
        <v>8754.75881800605</v>
      </c>
      <c r="I98" s="38" t="n">
        <f aca="false">ROUNDDOWN(H98/E98,0)</f>
        <v>35</v>
      </c>
      <c r="J98" s="39" t="n">
        <f aca="false">I98*E98</f>
        <v>8580.95</v>
      </c>
      <c r="K98" s="37" t="n">
        <f aca="false">IF($J$105=0,0,J98/$J$105)</f>
        <v>0.000226689782589996</v>
      </c>
      <c r="L98" s="40" t="n">
        <f aca="false">K98-G98</f>
        <v>-3.69860735753108E-006</v>
      </c>
      <c r="M98" s="41"/>
      <c r="N98" s="21"/>
      <c r="O98" s="42" t="str">
        <f aca="false">IF(ISNUMBER(M98),K98*M98,"")</f>
        <v/>
      </c>
      <c r="P98" s="14" t="n">
        <f aca="false">E98/G98</f>
        <v>1064159.52668378</v>
      </c>
    </row>
    <row r="99" customFormat="false" ht="15" hidden="false" customHeight="false" outlineLevel="0" collapsed="false">
      <c r="A99" s="12" t="n">
        <v>94</v>
      </c>
      <c r="B99" s="12" t="s">
        <v>256</v>
      </c>
      <c r="C99" s="12" t="s">
        <v>257</v>
      </c>
      <c r="D99" s="12" t="s">
        <v>35</v>
      </c>
      <c r="E99" s="35" t="n">
        <v>4160.2</v>
      </c>
      <c r="F99" s="36" t="n">
        <v>3636</v>
      </c>
      <c r="G99" s="37" t="n">
        <f aca="false">F99/$F$105</f>
        <v>0.000215955706586546</v>
      </c>
      <c r="H99" s="14" t="n">
        <f aca="false">$C$2*G99</f>
        <v>8206.31685028873</v>
      </c>
      <c r="I99" s="38" t="n">
        <f aca="false">ROUNDDOWN(H99/E99,0)</f>
        <v>1</v>
      </c>
      <c r="J99" s="39" t="n">
        <f aca="false">I99*E99</f>
        <v>4160.2</v>
      </c>
      <c r="K99" s="37" t="n">
        <f aca="false">IF($J$105=0,0,J99/$J$105)</f>
        <v>0.000109903312981768</v>
      </c>
      <c r="L99" s="40" t="n">
        <f aca="false">K99-G99</f>
        <v>-0.000106052393604777</v>
      </c>
      <c r="M99" s="41"/>
      <c r="N99" s="21"/>
      <c r="O99" s="42" t="str">
        <f aca="false">IF(ISNUMBER(M99),K99*M99,"")</f>
        <v/>
      </c>
      <c r="P99" s="14" t="n">
        <f aca="false">E99/G99</f>
        <v>19264135.5292585</v>
      </c>
    </row>
    <row r="100" customFormat="false" ht="15" hidden="false" customHeight="false" outlineLevel="0" collapsed="false">
      <c r="A100" s="12" t="n">
        <v>95</v>
      </c>
      <c r="B100" s="12" t="s">
        <v>258</v>
      </c>
      <c r="C100" s="12" t="s">
        <v>259</v>
      </c>
      <c r="D100" s="12" t="s">
        <v>29</v>
      </c>
      <c r="E100" s="35" t="n">
        <v>5006.8</v>
      </c>
      <c r="F100" s="36" t="n">
        <v>7786</v>
      </c>
      <c r="G100" s="37" t="n">
        <f aca="false">F100/$F$105</f>
        <v>0.000462439805138296</v>
      </c>
      <c r="H100" s="14" t="n">
        <f aca="false">$C$2*G100</f>
        <v>17572.7125952552</v>
      </c>
      <c r="I100" s="38" t="n">
        <f aca="false">ROUNDDOWN(H100/E100,0)</f>
        <v>3</v>
      </c>
      <c r="J100" s="39" t="n">
        <f aca="false">I100*E100</f>
        <v>15020.4</v>
      </c>
      <c r="K100" s="37" t="n">
        <f aca="false">IF($J$105=0,0,J100/$J$105)</f>
        <v>0.000396805856043303</v>
      </c>
      <c r="L100" s="40" t="n">
        <f aca="false">K100-G100</f>
        <v>-6.56339490949924E-005</v>
      </c>
      <c r="M100" s="41"/>
      <c r="N100" s="21"/>
      <c r="O100" s="42" t="str">
        <f aca="false">IF(ISNUMBER(M100),K100*M100,"")</f>
        <v/>
      </c>
      <c r="P100" s="14" t="n">
        <f aca="false">E100/G100</f>
        <v>10826922.6488898</v>
      </c>
    </row>
    <row r="101" customFormat="false" ht="15" hidden="false" customHeight="false" outlineLevel="0" collapsed="false">
      <c r="A101" s="12" t="n">
        <v>96</v>
      </c>
      <c r="B101" s="12" t="s">
        <v>260</v>
      </c>
      <c r="C101" s="12" t="s">
        <v>261</v>
      </c>
      <c r="D101" s="12" t="s">
        <v>30</v>
      </c>
      <c r="E101" s="35" t="n">
        <v>755</v>
      </c>
      <c r="F101" s="36" t="n">
        <v>14625</v>
      </c>
      <c r="G101" s="37" t="n">
        <f aca="false">F101/$F$105</f>
        <v>0.000868633720799843</v>
      </c>
      <c r="H101" s="14" t="n">
        <f aca="false">$C$2*G101</f>
        <v>33008.081390394</v>
      </c>
      <c r="I101" s="38" t="n">
        <f aca="false">ROUNDDOWN(H101/E101,0)</f>
        <v>43</v>
      </c>
      <c r="J101" s="39" t="n">
        <f aca="false">I101*E101</f>
        <v>32465</v>
      </c>
      <c r="K101" s="37" t="n">
        <f aca="false">IF($J$105=0,0,J101/$J$105)</f>
        <v>0.000857653732020841</v>
      </c>
      <c r="L101" s="40" t="n">
        <f aca="false">K101-G101</f>
        <v>-1.09799887790018E-005</v>
      </c>
      <c r="M101" s="41"/>
      <c r="N101" s="21"/>
      <c r="O101" s="42" t="str">
        <f aca="false">IF(ISNUMBER(M101),K101*M101,"")</f>
        <v/>
      </c>
      <c r="P101" s="14" t="n">
        <f aca="false">E101/G101</f>
        <v>869181.085100855</v>
      </c>
    </row>
    <row r="102" customFormat="false" ht="15" hidden="false" customHeight="false" outlineLevel="0" collapsed="false">
      <c r="A102" s="12" t="n">
        <v>97</v>
      </c>
      <c r="B102" s="12" t="s">
        <v>262</v>
      </c>
      <c r="C102" s="12" t="s">
        <v>263</v>
      </c>
      <c r="D102" s="12" t="s">
        <v>41</v>
      </c>
      <c r="E102" s="35" t="n">
        <v>1109</v>
      </c>
      <c r="F102" s="36" t="n">
        <v>7026</v>
      </c>
      <c r="G102" s="37" t="n">
        <f aca="false">F102/$F$105</f>
        <v>0.000417300548536048</v>
      </c>
      <c r="H102" s="14" t="n">
        <f aca="false">$C$2*G102</f>
        <v>15857.4208443698</v>
      </c>
      <c r="I102" s="38" t="n">
        <f aca="false">ROUNDDOWN(H102/E102,0)</f>
        <v>14</v>
      </c>
      <c r="J102" s="39" t="n">
        <f aca="false">I102*E102</f>
        <v>15526</v>
      </c>
      <c r="K102" s="37" t="n">
        <f aca="false">IF($J$105=0,0,J102/$J$105)</f>
        <v>0.000410162693465442</v>
      </c>
      <c r="L102" s="40" t="n">
        <f aca="false">K102-G102</f>
        <v>-7.13785507060546E-006</v>
      </c>
      <c r="M102" s="41"/>
      <c r="N102" s="21"/>
      <c r="O102" s="42" t="str">
        <f aca="false">IF(ISNUMBER(M102),K102*M102,"")</f>
        <v/>
      </c>
      <c r="P102" s="14" t="n">
        <f aca="false">E102/G102</f>
        <v>2657557.01469969</v>
      </c>
    </row>
    <row r="103" customFormat="false" ht="15" hidden="false" customHeight="false" outlineLevel="0" collapsed="false">
      <c r="A103" s="12" t="n">
        <v>98</v>
      </c>
      <c r="B103" s="12" t="s">
        <v>264</v>
      </c>
      <c r="C103" s="12" t="s">
        <v>265</v>
      </c>
      <c r="D103" s="12" t="s">
        <v>46</v>
      </c>
      <c r="E103" s="35" t="n">
        <v>11.5</v>
      </c>
      <c r="F103" s="36" t="n">
        <v>798</v>
      </c>
      <c r="G103" s="37" t="n">
        <f aca="false">F103/$F$105</f>
        <v>4.73962194323607E-005</v>
      </c>
      <c r="H103" s="14" t="n">
        <f aca="false">$C$2*G103</f>
        <v>1801.0563384297</v>
      </c>
      <c r="I103" s="38" t="n">
        <f aca="false">ROUNDDOWN(H103/E103,0)</f>
        <v>156</v>
      </c>
      <c r="J103" s="39" t="n">
        <f aca="false">I103*E103</f>
        <v>1794</v>
      </c>
      <c r="K103" s="37" t="n">
        <f aca="false">IF($J$105=0,0,J103/$J$105)</f>
        <v>4.73935251885227E-005</v>
      </c>
      <c r="L103" s="40" t="n">
        <f aca="false">K103-G103</f>
        <v>-2.69424383797263E-009</v>
      </c>
      <c r="M103" s="41"/>
      <c r="N103" s="21"/>
      <c r="O103" s="42" t="str">
        <f aca="false">IF(ISNUMBER(M103),K103*M103,"")</f>
        <v/>
      </c>
      <c r="P103" s="14" t="n">
        <f aca="false">E103/G103</f>
        <v>242635.386065163</v>
      </c>
    </row>
    <row r="104" customFormat="false" ht="15" hidden="false" customHeight="false" outlineLevel="0" collapsed="false">
      <c r="A104" s="12" t="n">
        <v>99</v>
      </c>
      <c r="B104" s="12" t="s">
        <v>266</v>
      </c>
      <c r="C104" s="12" t="s">
        <v>267</v>
      </c>
      <c r="D104" s="12" t="s">
        <v>36</v>
      </c>
      <c r="E104" s="35" t="n">
        <v>531.15</v>
      </c>
      <c r="F104" s="36" t="n">
        <v>108186.12</v>
      </c>
      <c r="G104" s="37" t="n">
        <f aca="false">F104/$F$105</f>
        <v>0.00642558030458108</v>
      </c>
      <c r="H104" s="14" t="n">
        <f aca="false">$C$2*G104</f>
        <v>244172.051574081</v>
      </c>
      <c r="I104" s="38" t="n">
        <f aca="false">ROUNDDOWN(H104/E104,0)</f>
        <v>459</v>
      </c>
      <c r="J104" s="39" t="n">
        <f aca="false">I104*E104</f>
        <v>243797.85</v>
      </c>
      <c r="K104" s="37" t="n">
        <f aca="false">IF($J$105=0,0,J104/$J$105)</f>
        <v>0.00644060175300037</v>
      </c>
      <c r="L104" s="40" t="n">
        <f aca="false">K104-G104</f>
        <v>1.50214484192961E-005</v>
      </c>
      <c r="M104" s="41"/>
      <c r="N104" s="21"/>
      <c r="O104" s="42" t="str">
        <f aca="false">IF(ISNUMBER(M104),K104*M104,"")</f>
        <v/>
      </c>
      <c r="P104" s="14" t="n">
        <f aca="false">E104/G104</f>
        <v>82661.7947053467</v>
      </c>
    </row>
    <row r="105" customFormat="false" ht="15" hidden="false" customHeight="false" outlineLevel="0" collapsed="false">
      <c r="B105" s="3" t="s">
        <v>47</v>
      </c>
      <c r="F105" s="43" t="n">
        <f aca="false">SUM(F6:F104)</f>
        <v>16836785.92</v>
      </c>
      <c r="G105" s="17" t="n">
        <f aca="false">SUM(G6:G104)</f>
        <v>1</v>
      </c>
      <c r="H105" s="18" t="n">
        <f aca="false">SUM(H6:H104)</f>
        <v>38000000</v>
      </c>
      <c r="I105" s="44" t="n">
        <f aca="false">SUM(I6:I104)</f>
        <v>45260</v>
      </c>
      <c r="J105" s="45" t="n">
        <f aca="false">SUM(J6:J104)</f>
        <v>37853272</v>
      </c>
      <c r="K105" s="17" t="n">
        <f aca="false">SUM(K6:K104)</f>
        <v>1</v>
      </c>
      <c r="O105" s="46" t="n">
        <f aca="false">SUM(O6:O104)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2026-09-28T09:28:05Z</dcterms:created>
  <dc:creator>openpyxl</dc:creator>
  <dc:description/>
  <dc:language>en-US</dc:language>
  <cp:lastModifiedBy/>
  <dcterms:modified xsi:type="dcterms:W3CDTF">2026-09-28T09:28:08Z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